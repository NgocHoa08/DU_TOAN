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1400" activeTab="1"/>
  </bookViews>
  <sheets>
    <sheet name="BG-2026" sheetId="6" r:id="rId1"/>
    <sheet name="Cấu Hình kỹ thuật" sheetId="1" r:id="rId2"/>
  </sheets>
  <definedNames>
    <definedName name="_xlnm.Print_Area" localSheetId="0">'BG-2026'!$A$1:$K$25</definedName>
    <definedName name="_xlnm.Print_Area" localSheetId="1">'Cấu Hình kỹ thuật'!$A$1:$F$40</definedName>
    <definedName name="_xlnm.Print_Titles" localSheetId="0">'BG-2026'!$11:$12</definedName>
    <definedName name="_xlnm.Print_Titles" localSheetId="1">'Cấu Hình kỹ thuật'!$9:$10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<sst xmlns="http://schemas.openxmlformats.org/spreadsheetml/2006/main" count="239" uniqueCount="141">
  <si>
    <t xml:space="preserve">BẢNG BÁO GIÁ </t>
  </si>
  <si>
    <t>Kính gửi: Quý khách hàng</t>
  </si>
  <si>
    <t>Ngày 8/9/2026</t>
  </si>
  <si>
    <t>Đồng tiền áp dụng: Việt Nam đồng</t>
  </si>
  <si>
    <t>Chúng tôi xin trân trọng gửi tới quý khách bảng chào giá như sau:</t>
  </si>
  <si>
    <t>Stt</t>
  </si>
  <si>
    <t>Thành phần</t>
  </si>
  <si>
    <t>Cấu hình kỹ thuật</t>
  </si>
  <si>
    <t>Xuất xứ</t>
  </si>
  <si>
    <t>Đvt</t>
  </si>
  <si>
    <t>Số 
lượng</t>
  </si>
  <si>
    <t>Đơn giá
trước VAT</t>
  </si>
  <si>
    <t>Thuế VAT</t>
  </si>
  <si>
    <t>Đơn giá 
sau VAT</t>
  </si>
  <si>
    <t>Thành tiền 
sau VAT</t>
  </si>
  <si>
    <t>Đơn giá nhập
chưa VAT</t>
  </si>
  <si>
    <t>%</t>
  </si>
  <si>
    <t>Tiền VAT</t>
  </si>
  <si>
    <t xml:space="preserve">Máy vi tính xách tay: Fujitsu Lifebook E5412 </t>
  </si>
  <si>
    <t>Japan</t>
  </si>
  <si>
    <t>Chiếc</t>
  </si>
  <si>
    <t>Máy in chuyên dùng</t>
  </si>
  <si>
    <t>HP LaserJet Enterprise MFP M528dn</t>
  </si>
  <si>
    <t>China</t>
  </si>
  <si>
    <t>PYR2547RAN</t>
  </si>
  <si>
    <t>Máy Chủ Fujitsu PY RX2540 M7 12x 3.5</t>
  </si>
  <si>
    <t>Bộ</t>
  </si>
  <si>
    <t>PYR1336R2N</t>
  </si>
  <si>
    <t>Máy Chủ Fujitsu PY RX1330M6/SFF</t>
  </si>
  <si>
    <t>PYR1336R3N</t>
  </si>
  <si>
    <t>Máy chủ Fujitsu PY RX1330M6/LFF</t>
  </si>
  <si>
    <t>Server Fujitsu PY RX1330M6/SFF</t>
  </si>
  <si>
    <t>PYR2537RDN</t>
  </si>
  <si>
    <t>Máy chủ Fujitsu PY RX2530 M7 8x 2.5</t>
  </si>
  <si>
    <t>ET205SAU</t>
  </si>
  <si>
    <t>Thiết bị lưu trữ Fujitsu ET DX200S5 Base 2.5</t>
  </si>
  <si>
    <t>Camera quan sát Hikvision DS-2SH343V2</t>
  </si>
  <si>
    <t>Cái</t>
  </si>
  <si>
    <t>Đầu ghi hình Hikvision DS-7604NXI-K1</t>
  </si>
  <si>
    <t>Ổ đĩa cứng Hikvision DS10HKVS-VX2, dung lượng 1TB, dùng để lưu trữ dữ liệu sử dụng cho đầu ghi hình</t>
  </si>
  <si>
    <t>Nguồn ADS- 12FG-12N 12012EPG</t>
  </si>
  <si>
    <t>Dây tín hiệu âm thanh 1-2 có đầu
giắc 15m C9025BK Unitek</t>
  </si>
  <si>
    <t>Sợi</t>
  </si>
  <si>
    <t>CHI TIẾT CẤU HÌNH KỸ THUẬT ĐÍNH KÈM BẢNG CHÀO GIÁ</t>
  </si>
  <si>
    <t>Chúng tôi xin trân trọng gửi tới quý khách bảng chi tiết cấu hình như sau:</t>
  </si>
  <si>
    <t>Số 
lượng tồn</t>
  </si>
  <si>
    <r>
      <rPr>
        <b/>
        <sz val="12"/>
        <rFont val="Times New Roman"/>
        <charset val="134"/>
      </rPr>
      <t xml:space="preserve">Máy vi tính xách tay: Fujitsu Lifebook E5412 </t>
    </r>
    <r>
      <rPr>
        <sz val="12"/>
        <rFont val="Times New Roman"/>
        <charset val="134"/>
      </rPr>
      <t>(Bảo mật vân tay)</t>
    </r>
  </si>
  <si>
    <t>Màn hình</t>
  </si>
  <si>
    <t>14 inch, Full-HD LCD, Chống chói</t>
  </si>
  <si>
    <t>Bộ vi xử lý</t>
  </si>
  <si>
    <t>Intel® Core™ i7-1255U processor (10 Cores, up to 4.7 GHz), vPro Essentials supported</t>
  </si>
  <si>
    <t>Bộ nhớ trong</t>
  </si>
  <si>
    <t>8GB DDR4-3200; 2 khe RAM cho phép nâng cấp lên tới: 64 GB</t>
  </si>
  <si>
    <t>Ổ đĩa cứng</t>
  </si>
  <si>
    <t>SSD 1TB Value-PCIe M.2 NVMe</t>
  </si>
  <si>
    <t>Đồ họa</t>
  </si>
  <si>
    <t>Intel® UHD Graphics (tích hợp theo CPU)</t>
  </si>
  <si>
    <t>Âm thanh</t>
  </si>
  <si>
    <t>HD Audio, Stereo speakers and Dual digital array microphone, AI noise reduction in dual built-in microphones.</t>
  </si>
  <si>
    <t>Camera</t>
  </si>
  <si>
    <t>Built-in HD Webcam with integrated privacy shutter</t>
  </si>
  <si>
    <t>Kết nối</t>
  </si>
  <si>
    <t>Gigabit Ethernet Connection
Intel® Wi-Fi 6E AX211 802.11ax 2x2
Bluetooth® 5.2</t>
  </si>
  <si>
    <t>Khe cắm thẻ nhớ</t>
  </si>
  <si>
    <t>microSD 3.0</t>
  </si>
  <si>
    <t>Cổng kết nối</t>
  </si>
  <si>
    <t>1x 3.5mm Audio Combo
2x USB 3.2 Gen 1 Type-A
2x USB 4.0 Gen 3 Type-C
1x HDMI Port
1x Gigabit Ethernet RJ-45</t>
  </si>
  <si>
    <t>Nhập liệu</t>
  </si>
  <si>
    <t>Keyboard &amp; touchpad</t>
  </si>
  <si>
    <t xml:space="preserve">An toàn bảo mật </t>
  </si>
  <si>
    <t>- Tích hợp Bảo mật vân tay.
- Chip bảo mật: TPM 2.0
- EraseDisk: Tính năng xóa vĩnh viễn toàn bộ dữ liệu ổ cứng, không thể khôi phục lại.
- BIOS/ Hard Disk password protection: Bảo vệ BIOS và ổ cứng bằng mật khẩu.</t>
  </si>
  <si>
    <t>Pin</t>
  </si>
  <si>
    <t>4-cell, công suất: 60Wh</t>
  </si>
  <si>
    <t>Bảo hành</t>
  </si>
  <si>
    <t>12 tháng.</t>
  </si>
  <si>
    <t>Chức năng</t>
  </si>
  <si>
    <t>Máy in mạng đa năng (Print - Copy - Scan) laser đơn sắc khổ A4 2 mặt tự động.</t>
  </si>
  <si>
    <t>Tốc độ sao chụp liên tục (copy, A4):</t>
  </si>
  <si>
    <t>Chế độ 1 mặt: 43 trang/phút, tối đa lên tới 50 trang/phút ở chế độ in tốc độ cao;
Chế độ 2 mặt: 34 trang/phút;</t>
  </si>
  <si>
    <t>Bộ nhớ</t>
  </si>
  <si>
    <t>1.25 GB</t>
  </si>
  <si>
    <t>Thời gian in bản đầu tiên (A4)</t>
  </si>
  <si>
    <t>6 giây</t>
  </si>
  <si>
    <t>Khổ giấy</t>
  </si>
  <si>
    <t>A4, A5, A6, B5</t>
  </si>
  <si>
    <t>LCD cảm ứng 8 inch</t>
  </si>
  <si>
    <t>In ấn trực tiếp từ ổ USB</t>
  </si>
  <si>
    <t>Có</t>
  </si>
  <si>
    <t>1000Base-T/100Base-TX/10Base-T, Wireless LAN WEEE 802.11b/g/n, 3 x USB 2.0</t>
  </si>
  <si>
    <t>Sao chụp liên tục</t>
  </si>
  <si>
    <t>Lên đến 9999 tờ</t>
  </si>
  <si>
    <t>Định lượng hộp mực</t>
  </si>
  <si>
    <t>7.500 trang</t>
  </si>
  <si>
    <t>Trữ lượng giấy (tiêu chuẩn)</t>
  </si>
  <si>
    <t>1 khay 550 tờ; khay tay 100 tờ (khả năng mở rộng lên đến 5 khay giấy)</t>
  </si>
  <si>
    <t>Mức tiêu thụ điện tối đa khi hoạt động</t>
  </si>
  <si>
    <t>629W, đạt nhãn năng lượng Energy Star 3.0.</t>
  </si>
  <si>
    <t>03 năm theo tiêu chuẩn chính hãng, tận nơi sử dụng</t>
  </si>
  <si>
    <t>Nhật Bản</t>
  </si>
  <si>
    <t>Intel Xeon Silver 4410T 10C 2.7 GHz</t>
  </si>
  <si>
    <t>Independent Mode Installation</t>
  </si>
  <si>
    <t>16GB (1x16GB) 1Rx8 DDR5-4800 R ECC</t>
  </si>
  <si>
    <t>HD SAS 12G 1.2TB 10K 512n HOT PL 3.5' EP</t>
  </si>
  <si>
    <t>HD SAS 12G 12TB 7.2K 512e HOT PL 3.5' BC</t>
  </si>
  <si>
    <t>PRAID EP 3254-8i LP</t>
  </si>
  <si>
    <t>FBU option for PRAID EP 325x</t>
  </si>
  <si>
    <t>PLAN CP 4x1Gbit Cu Intel I350-T4 OCPV3</t>
  </si>
  <si>
    <t>Rack Mount Kit</t>
  </si>
  <si>
    <t>region kit APAC/EMEA/India</t>
  </si>
  <si>
    <t>iRMC advanced pack</t>
  </si>
  <si>
    <t>iRMC MicroSD card 64GB</t>
  </si>
  <si>
    <t>iRMCS6 eLCM Activation License preloaded</t>
  </si>
  <si>
    <t>Modular PSU 1600W platinum hp</t>
  </si>
  <si>
    <t>Cable powercord rack, 2.5m, black</t>
  </si>
  <si>
    <t>Front Bezel on front Base</t>
  </si>
  <si>
    <t>TPM 2.0 Module V1</t>
  </si>
  <si>
    <t>Warranty 3 Year Onsite 8x6xNBD</t>
  </si>
  <si>
    <t>Intel Xeon E-2488 8C/16T 3.20 GHz</t>
  </si>
  <si>
    <t>16GB (1x16GB) 1Rx8 DDR5-4800 U ECC</t>
  </si>
  <si>
    <t>SSD SATA 6G 1.92TB Read-Int. 2.5' H-P EP</t>
  </si>
  <si>
    <t>PRAID CP600i LP</t>
  </si>
  <si>
    <t>RMK F1 Slimline, Slide-In Rail, QRL</t>
  </si>
  <si>
    <t>Modular PSU 500W titanium hp</t>
  </si>
  <si>
    <t>TPM 2.0 Module V2</t>
  </si>
  <si>
    <t>SSD SATA 6G 240GB Read-Int. 3.5' H-P EP</t>
  </si>
  <si>
    <t>HD SAS 12G 4TB 7.2K 512n HOT PL 3.5' BC</t>
  </si>
  <si>
    <t>PRAID EP 3252-8i LP</t>
  </si>
  <si>
    <t>Modular PSU 500W platinum hp</t>
  </si>
  <si>
    <t>Intel Xeon Silver 4410Y 12C 2.0 GHz</t>
  </si>
  <si>
    <t>32GB (1x32GB) 1Rx4 DDR5-4800 R ECC</t>
  </si>
  <si>
    <t>DVD-RW supermulti ultraslim SATA</t>
  </si>
  <si>
    <t>SSD SATA 6G 240GB Read-Int. 2.5' H-P EP</t>
  </si>
  <si>
    <t>PRAID CP500i LP</t>
  </si>
  <si>
    <t>PFC EP LPe31002 2x 16Gb Emulex LP</t>
  </si>
  <si>
    <t>Modular PSU 900W titanium hp</t>
  </si>
  <si>
    <t>ET DX1/200S5 DriveEncl. 3.5 IO Mod. x2</t>
  </si>
  <si>
    <t>DX200S5 64G Mem.set 1Contr32x2DIM</t>
  </si>
  <si>
    <t>DX200S5 Contr.x1 FC 4Port 16G</t>
  </si>
  <si>
    <t>DX1/200S5 HD SAS 2.4TB 10k 2.5 AF</t>
  </si>
  <si>
    <t>DX1/200S5 HD NL 18TB 7.2k 3.5 AF x1</t>
  </si>
  <si>
    <t>AFS3DXS5Ent PwrCrd IEC60320 C14 3m x2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</si>
</sst>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(* #,##0_);_(* \(#,##0\);_(* &quot;-&quot;??_);_(@_)"/>
    <numFmt numFmtId="179" formatCode="_-* #,##0_-;\-* #,##0_-;_-* &quot;-&quot;??_-;_-@_-"/>
  </numFmts>
  <fonts count="30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2"/>
      <name val="Times New Roman"/>
      <charset val="134"/>
    </font>
    <font>
      <b/>
      <sz val="11"/>
      <name val="Times New Roman"/>
      <charset val="134"/>
    </font>
    <font>
      <sz val="10"/>
      <name val="Times New Roman"/>
      <charset val="134"/>
    </font>
    <font>
      <b/>
      <sz val="16"/>
      <name val="Times New Roman"/>
      <charset val="134"/>
    </font>
    <font>
      <b/>
      <sz val="12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0" tint="-0.0499893185216834"/>
        <bgColor indexed="0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8" borderId="16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9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4" fillId="0" borderId="0"/>
    <xf numFmtId="0" fontId="29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178" fontId="1" fillId="0" borderId="0" xfId="1" applyNumberFormat="1" applyFont="1" applyAlignment="1"/>
    <xf numFmtId="0" fontId="4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6" fillId="3" borderId="6" xfId="50" applyFont="1" applyFill="1" applyBorder="1" applyAlignment="1">
      <alignment horizontal="center" vertical="center" wrapText="1"/>
    </xf>
    <xf numFmtId="0" fontId="6" fillId="4" borderId="6" xfId="50" applyFont="1" applyFill="1" applyBorder="1" applyAlignment="1">
      <alignment horizontal="center" vertical="center" wrapText="1"/>
    </xf>
    <xf numFmtId="0" fontId="6" fillId="4" borderId="6" xfId="5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/>
    </xf>
    <xf numFmtId="179" fontId="2" fillId="0" borderId="0" xfId="0" applyNumberFormat="1" applyFont="1" applyAlignment="1">
      <alignment horizontal="right" vertical="center"/>
    </xf>
    <xf numFmtId="0" fontId="2" fillId="2" borderId="6" xfId="49" applyFont="1" applyFill="1" applyBorder="1" applyAlignment="1">
      <alignment horizontal="center" vertical="center" wrapText="1"/>
    </xf>
    <xf numFmtId="0" fontId="2" fillId="2" borderId="6" xfId="49" applyFont="1" applyFill="1" applyBorder="1" applyAlignment="1">
      <alignment horizontal="left" vertical="center" wrapText="1"/>
    </xf>
    <xf numFmtId="0" fontId="2" fillId="2" borderId="6" xfId="49" applyFont="1" applyFill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6" xfId="49" applyFont="1" applyBorder="1" applyAlignment="1">
      <alignment horizontal="left" vertical="center" wrapText="1"/>
    </xf>
    <xf numFmtId="0" fontId="2" fillId="0" borderId="6" xfId="49" applyFont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/>
    </xf>
    <xf numFmtId="179" fontId="2" fillId="0" borderId="0" xfId="0" applyNumberFormat="1" applyFont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179" fontId="2" fillId="2" borderId="6" xfId="1" applyNumberFormat="1" applyFont="1" applyFill="1" applyBorder="1" applyAlignment="1">
      <alignment horizontal="center" vertical="center" wrapText="1"/>
    </xf>
    <xf numFmtId="179" fontId="2" fillId="2" borderId="6" xfId="1" applyNumberFormat="1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top"/>
    </xf>
    <xf numFmtId="178" fontId="2" fillId="0" borderId="0" xfId="1" applyNumberFormat="1" applyFont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2" fillId="0" borderId="0" xfId="0" applyFont="1" applyFill="1" applyAlignment="1">
      <alignment vertical="top"/>
    </xf>
    <xf numFmtId="0" fontId="1" fillId="0" borderId="0" xfId="0" applyFont="1" applyFill="1" applyAlignment="1">
      <alignment vertical="center" wrapText="1"/>
    </xf>
    <xf numFmtId="9" fontId="1" fillId="0" borderId="0" xfId="3" applyFont="1" applyAlignment="1">
      <alignment horizontal="center" vertical="top"/>
    </xf>
    <xf numFmtId="3" fontId="1" fillId="0" borderId="0" xfId="0" applyNumberFormat="1" applyFont="1" applyAlignment="1">
      <alignment vertical="top"/>
    </xf>
    <xf numFmtId="9" fontId="3" fillId="2" borderId="2" xfId="3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9" fontId="1" fillId="2" borderId="0" xfId="3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9" fontId="3" fillId="2" borderId="0" xfId="3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top"/>
    </xf>
    <xf numFmtId="0" fontId="2" fillId="2" borderId="9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9" fontId="1" fillId="2" borderId="5" xfId="3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9" fontId="6" fillId="3" borderId="6" xfId="3" applyFont="1" applyFill="1" applyBorder="1" applyAlignment="1">
      <alignment horizontal="center" vertical="center" wrapText="1"/>
    </xf>
    <xf numFmtId="3" fontId="6" fillId="3" borderId="6" xfId="50" applyNumberFormat="1" applyFont="1" applyFill="1" applyBorder="1" applyAlignment="1">
      <alignment horizontal="center" vertical="center" wrapText="1"/>
    </xf>
    <xf numFmtId="0" fontId="2" fillId="0" borderId="6" xfId="50" applyFont="1" applyFill="1" applyBorder="1" applyAlignment="1">
      <alignment horizontal="center" vertical="center" wrapText="1"/>
    </xf>
    <xf numFmtId="0" fontId="2" fillId="0" borderId="6" xfId="5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/>
    </xf>
    <xf numFmtId="179" fontId="2" fillId="0" borderId="6" xfId="1" applyNumberFormat="1" applyFont="1" applyFill="1" applyBorder="1" applyAlignment="1">
      <alignment horizontal="center" vertical="center"/>
    </xf>
    <xf numFmtId="9" fontId="2" fillId="0" borderId="6" xfId="3" applyFont="1" applyFill="1" applyBorder="1" applyAlignment="1">
      <alignment horizontal="center" vertical="center"/>
    </xf>
    <xf numFmtId="3" fontId="2" fillId="0" borderId="6" xfId="3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179" fontId="2" fillId="0" borderId="6" xfId="1" applyNumberFormat="1" applyFont="1" applyFill="1" applyBorder="1" applyAlignment="1">
      <alignment horizontal="center" vertical="center" wrapText="1"/>
    </xf>
    <xf numFmtId="9" fontId="2" fillId="0" borderId="6" xfId="3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/>
    </xf>
    <xf numFmtId="179" fontId="1" fillId="2" borderId="6" xfId="1" applyNumberFormat="1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179" fontId="2" fillId="2" borderId="6" xfId="0" applyNumberFormat="1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3" fontId="1" fillId="2" borderId="6" xfId="0" applyNumberFormat="1" applyFont="1" applyFill="1" applyBorder="1" applyAlignment="1">
      <alignment vertical="center" wrapText="1"/>
    </xf>
    <xf numFmtId="3" fontId="2" fillId="2" borderId="1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6" xfId="49" applyFont="1" applyBorder="1" applyAlignment="1" quotePrefix="1">
      <alignment vertical="center" wrapText="1"/>
    </xf>
    <xf numFmtId="0" fontId="2" fillId="2" borderId="6" xfId="0" applyFont="1" applyFill="1" applyBorder="1" applyAlignment="1" quotePrefix="1">
      <alignment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Normal_Sheet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7"/>
  <sheetViews>
    <sheetView workbookViewId="0">
      <selection activeCell="D8" sqref="D8"/>
    </sheetView>
  </sheetViews>
  <sheetFormatPr defaultColWidth="9" defaultRowHeight="14"/>
  <cols>
    <col min="1" max="1" width="4.85454545454545" style="4" customWidth="1"/>
    <col min="2" max="2" width="16.7090909090909" style="5" customWidth="1"/>
    <col min="3" max="3" width="37" style="5" customWidth="1"/>
    <col min="4" max="4" width="10.2818181818182" style="5" customWidth="1"/>
    <col min="5" max="5" width="7" style="5" customWidth="1"/>
    <col min="6" max="6" width="6.57272727272727" style="5" customWidth="1"/>
    <col min="7" max="7" width="14.5727272727273" style="5" customWidth="1"/>
    <col min="8" max="8" width="6" style="54" customWidth="1"/>
    <col min="9" max="9" width="13.7090909090909" style="55" customWidth="1"/>
    <col min="10" max="10" width="13.7090909090909" style="5" customWidth="1"/>
    <col min="11" max="12" width="15.5727272727273" style="5" customWidth="1"/>
    <col min="13" max="13" width="13.8545454545455" style="5" customWidth="1"/>
    <col min="14" max="16384" width="9" style="5"/>
  </cols>
  <sheetData>
    <row r="1" s="1" customFormat="1" spans="1:13">
      <c r="A1" s="7"/>
      <c r="B1" s="8"/>
      <c r="C1" s="8"/>
      <c r="D1" s="8"/>
      <c r="E1" s="8"/>
      <c r="F1" s="8"/>
      <c r="G1" s="8"/>
      <c r="H1" s="56"/>
      <c r="I1" s="57"/>
      <c r="J1" s="58"/>
      <c r="K1" s="59"/>
      <c r="L1" s="59"/>
    </row>
    <row r="2" s="1" customFormat="1" ht="15" hidden="1" customHeight="1" spans="1:13">
      <c r="A2" s="11"/>
      <c r="B2" s="12"/>
      <c r="C2" s="12"/>
      <c r="D2" s="12"/>
      <c r="E2" s="14"/>
      <c r="F2" s="14"/>
      <c r="G2" s="14"/>
      <c r="H2" s="60"/>
      <c r="I2" s="61"/>
      <c r="J2" s="14"/>
      <c r="K2" s="62"/>
      <c r="L2" s="62"/>
    </row>
    <row r="3" s="1" customFormat="1" hidden="1" spans="1:13">
      <c r="A3" s="11"/>
      <c r="B3" s="12"/>
      <c r="C3" s="12"/>
      <c r="D3" s="12"/>
      <c r="E3" s="14"/>
      <c r="F3" s="14"/>
      <c r="G3" s="14"/>
      <c r="H3" s="60"/>
      <c r="I3" s="61"/>
      <c r="J3" s="14"/>
      <c r="K3" s="62"/>
      <c r="L3" s="62"/>
    </row>
    <row r="4" s="1" customFormat="1" hidden="1" spans="1:13">
      <c r="A4" s="11"/>
      <c r="B4" s="12"/>
      <c r="C4" s="12"/>
      <c r="D4" s="12"/>
      <c r="E4" s="15"/>
      <c r="F4" s="15"/>
      <c r="G4" s="15"/>
      <c r="H4" s="63"/>
      <c r="I4" s="61"/>
      <c r="J4" s="14"/>
      <c r="K4" s="62"/>
      <c r="L4" s="62"/>
    </row>
    <row r="5" s="1" customFormat="1" hidden="1" spans="1:13">
      <c r="A5" s="11"/>
      <c r="B5" s="12"/>
      <c r="C5" s="12"/>
      <c r="D5" s="12"/>
      <c r="E5" s="15"/>
      <c r="F5" s="15"/>
      <c r="G5" s="15"/>
      <c r="H5" s="63"/>
      <c r="I5" s="64"/>
      <c r="J5" s="14"/>
      <c r="K5" s="62"/>
      <c r="L5" s="62"/>
    </row>
    <row r="6" ht="27.2" customHeight="1" spans="1:13">
      <c r="A6" s="16" t="s">
        <v>0</v>
      </c>
      <c r="B6" s="17"/>
      <c r="C6" s="17"/>
      <c r="D6" s="17"/>
      <c r="E6" s="17"/>
      <c r="F6" s="17"/>
      <c r="G6" s="17"/>
      <c r="H6" s="17"/>
      <c r="I6" s="17"/>
      <c r="J6" s="17"/>
      <c r="K6" s="65"/>
      <c r="M6" s="66"/>
    </row>
    <row r="7" ht="18" customHeight="1" spans="1:13">
      <c r="A7" s="18" t="s">
        <v>1</v>
      </c>
      <c r="B7" s="19"/>
      <c r="C7" s="19"/>
      <c r="D7" s="19"/>
      <c r="E7" s="19"/>
      <c r="F7" s="19"/>
      <c r="G7" s="19"/>
      <c r="H7" s="19" t="s">
        <v>2</v>
      </c>
      <c r="I7" s="19"/>
      <c r="J7" s="19"/>
      <c r="K7" s="67"/>
      <c r="L7" s="67"/>
    </row>
    <row r="8" ht="18" customHeight="1" spans="1:13">
      <c r="A8" s="68"/>
      <c r="B8" s="19"/>
      <c r="C8" s="19"/>
      <c r="D8" s="19"/>
      <c r="E8" s="19"/>
      <c r="F8" s="19"/>
      <c r="G8" s="19"/>
      <c r="H8" s="19" t="s">
        <v>3</v>
      </c>
      <c r="I8" s="19"/>
      <c r="J8" s="19"/>
      <c r="K8" s="67"/>
      <c r="L8" s="67"/>
    </row>
    <row r="9" ht="18" customHeight="1" spans="1:13">
      <c r="A9" s="18"/>
      <c r="B9" s="19"/>
      <c r="C9" s="19"/>
      <c r="D9" s="19"/>
      <c r="E9" s="19"/>
      <c r="F9" s="19"/>
      <c r="G9" s="19"/>
      <c r="K9" s="67"/>
      <c r="L9" s="67"/>
    </row>
    <row r="10" ht="18.75" customHeight="1" spans="1:13">
      <c r="A10" s="20" t="s">
        <v>4</v>
      </c>
      <c r="B10" s="21"/>
      <c r="C10" s="21"/>
      <c r="D10" s="21"/>
      <c r="E10" s="21"/>
      <c r="F10" s="21"/>
      <c r="G10" s="21"/>
      <c r="H10" s="69"/>
      <c r="I10" s="70"/>
      <c r="J10" s="21"/>
      <c r="K10" s="71"/>
      <c r="L10" s="71"/>
    </row>
    <row r="11" ht="15.95" customHeight="1" spans="1:13">
      <c r="A11" s="23" t="s">
        <v>5</v>
      </c>
      <c r="B11" s="23" t="s">
        <v>6</v>
      </c>
      <c r="C11" s="23" t="s">
        <v>7</v>
      </c>
      <c r="D11" s="23" t="s">
        <v>8</v>
      </c>
      <c r="E11" s="23" t="s">
        <v>9</v>
      </c>
      <c r="F11" s="23" t="s">
        <v>10</v>
      </c>
      <c r="G11" s="23" t="s">
        <v>11</v>
      </c>
      <c r="H11" s="23" t="s">
        <v>12</v>
      </c>
      <c r="I11" s="23"/>
      <c r="J11" s="23" t="s">
        <v>13</v>
      </c>
      <c r="K11" s="23" t="s">
        <v>14</v>
      </c>
      <c r="L11" s="23" t="s">
        <v>15</v>
      </c>
    </row>
    <row r="12" ht="15" spans="1:13">
      <c r="A12" s="23"/>
      <c r="B12" s="23"/>
      <c r="C12" s="23"/>
      <c r="D12" s="23"/>
      <c r="E12" s="23"/>
      <c r="F12" s="23"/>
      <c r="G12" s="23"/>
      <c r="H12" s="72" t="s">
        <v>16</v>
      </c>
      <c r="I12" s="73" t="s">
        <v>17</v>
      </c>
      <c r="J12" s="23"/>
      <c r="K12" s="23"/>
      <c r="L12" s="23"/>
    </row>
    <row r="13" s="52" customFormat="1" ht="15.5" spans="1:13">
      <c r="A13" s="74">
        <v>1</v>
      </c>
      <c r="B13" s="75" t="s">
        <v>18</v>
      </c>
      <c r="C13" s="75"/>
      <c r="D13" s="76" t="s">
        <v>19</v>
      </c>
      <c r="E13" s="76" t="s">
        <v>20</v>
      </c>
      <c r="F13" s="76">
        <v>7</v>
      </c>
      <c r="G13" s="77"/>
      <c r="H13" s="78">
        <v>0.08</v>
      </c>
      <c r="I13" s="79">
        <f t="shared" ref="I13:I25" si="0">G13*H13</f>
        <v>0</v>
      </c>
      <c r="J13" s="77">
        <f t="shared" ref="J13:J25" si="1">G13+I13</f>
        <v>0</v>
      </c>
      <c r="K13" s="77">
        <f t="shared" ref="K13:K25" si="2">F13*J13</f>
        <v>0</v>
      </c>
      <c r="L13" s="77"/>
    </row>
    <row r="14" s="53" customFormat="1" ht="31" spans="1:13">
      <c r="A14" s="80">
        <v>2</v>
      </c>
      <c r="B14" s="81" t="s">
        <v>21</v>
      </c>
      <c r="C14" s="81" t="s">
        <v>22</v>
      </c>
      <c r="D14" s="80" t="s">
        <v>23</v>
      </c>
      <c r="E14" s="80" t="s">
        <v>20</v>
      </c>
      <c r="F14" s="80">
        <v>3</v>
      </c>
      <c r="G14" s="82"/>
      <c r="H14" s="83">
        <v>0.08</v>
      </c>
      <c r="I14" s="79">
        <f t="shared" si="0"/>
        <v>0</v>
      </c>
      <c r="J14" s="77">
        <f t="shared" si="1"/>
        <v>0</v>
      </c>
      <c r="K14" s="77">
        <f t="shared" si="2"/>
        <v>0</v>
      </c>
      <c r="L14" s="82"/>
    </row>
    <row r="15" s="3" customFormat="1" ht="15.5" spans="1:13">
      <c r="A15" s="38">
        <v>3</v>
      </c>
      <c r="B15" s="48" t="s">
        <v>24</v>
      </c>
      <c r="C15" s="48" t="s">
        <v>25</v>
      </c>
      <c r="D15" s="76" t="s">
        <v>19</v>
      </c>
      <c r="E15" s="84" t="s">
        <v>26</v>
      </c>
      <c r="F15" s="47">
        <v>2</v>
      </c>
      <c r="G15" s="42"/>
      <c r="H15" s="83">
        <v>0.08</v>
      </c>
      <c r="I15" s="79">
        <f t="shared" si="0"/>
        <v>0</v>
      </c>
      <c r="J15" s="77">
        <f t="shared" si="1"/>
        <v>0</v>
      </c>
      <c r="K15" s="77">
        <f t="shared" si="2"/>
        <v>0</v>
      </c>
      <c r="L15" s="85"/>
    </row>
    <row r="16" s="3" customFormat="1" ht="15.5" spans="1:13">
      <c r="A16" s="80">
        <v>4</v>
      </c>
      <c r="B16" s="48" t="s">
        <v>27</v>
      </c>
      <c r="C16" s="86" t="s">
        <v>28</v>
      </c>
      <c r="D16" s="76" t="s">
        <v>19</v>
      </c>
      <c r="E16" s="87" t="s">
        <v>26</v>
      </c>
      <c r="F16" s="47">
        <v>1</v>
      </c>
      <c r="G16" s="42"/>
      <c r="H16" s="83">
        <v>0.08</v>
      </c>
      <c r="I16" s="79">
        <f t="shared" si="0"/>
        <v>0</v>
      </c>
      <c r="J16" s="77">
        <f t="shared" si="1"/>
        <v>0</v>
      </c>
      <c r="K16" s="77">
        <f t="shared" si="2"/>
        <v>0</v>
      </c>
      <c r="L16" s="85"/>
    </row>
    <row r="17" s="3" customFormat="1" ht="15.5" spans="1:12">
      <c r="A17" s="38">
        <v>5</v>
      </c>
      <c r="B17" s="48" t="s">
        <v>29</v>
      </c>
      <c r="C17" s="48" t="s">
        <v>30</v>
      </c>
      <c r="D17" s="76" t="s">
        <v>19</v>
      </c>
      <c r="E17" s="87" t="s">
        <v>26</v>
      </c>
      <c r="F17" s="47">
        <v>1</v>
      </c>
      <c r="G17" s="42"/>
      <c r="H17" s="83">
        <v>0.08</v>
      </c>
      <c r="I17" s="79">
        <f t="shared" si="0"/>
        <v>0</v>
      </c>
      <c r="J17" s="77">
        <f t="shared" si="1"/>
        <v>0</v>
      </c>
      <c r="K17" s="77">
        <f t="shared" si="2"/>
        <v>0</v>
      </c>
      <c r="L17" s="85"/>
    </row>
    <row r="18" s="3" customFormat="1" ht="15.5" spans="1:12">
      <c r="A18" s="80">
        <v>6</v>
      </c>
      <c r="B18" s="48" t="s">
        <v>27</v>
      </c>
      <c r="C18" s="48" t="s">
        <v>31</v>
      </c>
      <c r="D18" s="76" t="s">
        <v>19</v>
      </c>
      <c r="E18" s="87" t="s">
        <v>26</v>
      </c>
      <c r="F18" s="47">
        <v>1</v>
      </c>
      <c r="G18" s="42"/>
      <c r="H18" s="83">
        <v>0.08</v>
      </c>
      <c r="I18" s="79">
        <f t="shared" si="0"/>
        <v>0</v>
      </c>
      <c r="J18" s="77">
        <f t="shared" si="1"/>
        <v>0</v>
      </c>
      <c r="K18" s="77">
        <f t="shared" si="2"/>
        <v>0</v>
      </c>
      <c r="L18" s="85"/>
    </row>
    <row r="19" s="3" customFormat="1" ht="15.5" spans="1:12">
      <c r="A19" s="38">
        <v>7</v>
      </c>
      <c r="B19" s="48" t="s">
        <v>32</v>
      </c>
      <c r="C19" s="48" t="s">
        <v>33</v>
      </c>
      <c r="D19" s="76" t="s">
        <v>19</v>
      </c>
      <c r="E19" s="87" t="s">
        <v>26</v>
      </c>
      <c r="F19" s="47">
        <v>2</v>
      </c>
      <c r="G19" s="42"/>
      <c r="H19" s="83">
        <v>0.08</v>
      </c>
      <c r="I19" s="79">
        <f t="shared" si="0"/>
        <v>0</v>
      </c>
      <c r="J19" s="77">
        <f t="shared" si="1"/>
        <v>0</v>
      </c>
      <c r="K19" s="77">
        <f t="shared" si="2"/>
        <v>0</v>
      </c>
      <c r="L19" s="85"/>
    </row>
    <row r="20" ht="31" spans="1:12">
      <c r="A20" s="80">
        <v>8</v>
      </c>
      <c r="B20" s="48" t="s">
        <v>34</v>
      </c>
      <c r="C20" s="86" t="s">
        <v>35</v>
      </c>
      <c r="D20" s="76" t="s">
        <v>19</v>
      </c>
      <c r="E20" s="87" t="s">
        <v>26</v>
      </c>
      <c r="F20" s="47">
        <v>1</v>
      </c>
      <c r="G20" s="88"/>
      <c r="H20" s="83">
        <v>0.08</v>
      </c>
      <c r="I20" s="79">
        <f t="shared" si="0"/>
        <v>0</v>
      </c>
      <c r="J20" s="77">
        <f t="shared" si="1"/>
        <v>0</v>
      </c>
      <c r="K20" s="77">
        <f t="shared" si="2"/>
        <v>0</v>
      </c>
      <c r="L20" s="85"/>
    </row>
    <row r="21" s="3" customFormat="1" ht="15.5" spans="1:12">
      <c r="A21" s="38">
        <v>9</v>
      </c>
      <c r="B21" s="89" t="s">
        <v>36</v>
      </c>
      <c r="C21" s="90"/>
      <c r="D21" s="40" t="s">
        <v>23</v>
      </c>
      <c r="E21" s="38" t="s">
        <v>37</v>
      </c>
      <c r="F21" s="47">
        <v>1</v>
      </c>
      <c r="G21" s="42"/>
      <c r="H21" s="83">
        <v>0.08</v>
      </c>
      <c r="I21" s="79">
        <f t="shared" si="0"/>
        <v>0</v>
      </c>
      <c r="J21" s="77">
        <f t="shared" si="1"/>
        <v>0</v>
      </c>
      <c r="K21" s="77">
        <f t="shared" si="2"/>
        <v>0</v>
      </c>
      <c r="L21" s="91"/>
    </row>
    <row r="22" s="3" customFormat="1" ht="15.5" spans="1:12">
      <c r="A22" s="38">
        <v>10</v>
      </c>
      <c r="B22" s="89" t="s">
        <v>38</v>
      </c>
      <c r="C22" s="90"/>
      <c r="D22" s="40" t="s">
        <v>23</v>
      </c>
      <c r="E22" s="38" t="s">
        <v>37</v>
      </c>
      <c r="F22" s="47">
        <v>1</v>
      </c>
      <c r="G22" s="42"/>
      <c r="H22" s="83">
        <v>0.08</v>
      </c>
      <c r="I22" s="79">
        <f t="shared" si="0"/>
        <v>0</v>
      </c>
      <c r="J22" s="77">
        <f t="shared" si="1"/>
        <v>0</v>
      </c>
      <c r="K22" s="77">
        <f t="shared" si="2"/>
        <v>0</v>
      </c>
      <c r="L22" s="91"/>
    </row>
    <row r="23" ht="32.25" customHeight="1" spans="1:12">
      <c r="A23" s="38">
        <v>11</v>
      </c>
      <c r="B23" s="92" t="s">
        <v>39</v>
      </c>
      <c r="C23" s="90"/>
      <c r="D23" s="40" t="s">
        <v>23</v>
      </c>
      <c r="E23" s="38" t="s">
        <v>37</v>
      </c>
      <c r="F23" s="47">
        <v>1</v>
      </c>
      <c r="G23" s="42"/>
      <c r="H23" s="83">
        <v>0.08</v>
      </c>
      <c r="I23" s="79">
        <f t="shared" si="0"/>
        <v>0</v>
      </c>
      <c r="J23" s="77">
        <f t="shared" si="1"/>
        <v>0</v>
      </c>
      <c r="K23" s="77">
        <f t="shared" si="2"/>
        <v>0</v>
      </c>
      <c r="L23" s="91"/>
    </row>
    <row r="24" s="3" customFormat="1" ht="15.5" spans="1:12">
      <c r="A24" s="38">
        <v>12</v>
      </c>
      <c r="B24" s="89" t="s">
        <v>40</v>
      </c>
      <c r="C24" s="90"/>
      <c r="D24" s="40" t="s">
        <v>23</v>
      </c>
      <c r="E24" s="38" t="s">
        <v>37</v>
      </c>
      <c r="F24" s="47">
        <v>1</v>
      </c>
      <c r="G24" s="42"/>
      <c r="H24" s="83">
        <v>0.08</v>
      </c>
      <c r="I24" s="79">
        <f t="shared" si="0"/>
        <v>0</v>
      </c>
      <c r="J24" s="77">
        <f t="shared" si="1"/>
        <v>0</v>
      </c>
      <c r="K24" s="77">
        <f t="shared" si="2"/>
        <v>0</v>
      </c>
      <c r="L24" s="91"/>
    </row>
    <row r="25" s="3" customFormat="1" ht="15.5" spans="1:12">
      <c r="A25" s="38">
        <v>13</v>
      </c>
      <c r="B25" s="89" t="s">
        <v>41</v>
      </c>
      <c r="C25" s="90"/>
      <c r="D25" s="40" t="s">
        <v>23</v>
      </c>
      <c r="E25" s="38" t="s">
        <v>42</v>
      </c>
      <c r="F25" s="47">
        <v>1</v>
      </c>
      <c r="G25" s="42"/>
      <c r="H25" s="83">
        <v>0.08</v>
      </c>
      <c r="I25" s="79">
        <f t="shared" si="0"/>
        <v>0</v>
      </c>
      <c r="J25" s="77">
        <f t="shared" si="1"/>
        <v>0</v>
      </c>
      <c r="K25" s="77">
        <f t="shared" si="2"/>
        <v>0</v>
      </c>
      <c r="L25" s="91"/>
    </row>
    <row r="26" ht="15" spans="1:12">
      <c r="A26" s="93"/>
      <c r="B26" s="94"/>
      <c r="C26" s="3"/>
      <c r="K26" s="95"/>
      <c r="L26" s="95"/>
    </row>
    <row r="27" ht="15" spans="1:12">
      <c r="A27" s="93"/>
      <c r="B27" s="94"/>
      <c r="C27" s="3"/>
      <c r="K27" s="95"/>
      <c r="L27" s="95"/>
    </row>
    <row r="45" ht="15.5" spans="1:3">
      <c r="A45" s="96"/>
      <c r="B45" s="96"/>
      <c r="C45" s="96"/>
    </row>
    <row r="46" ht="15.5" spans="1:3">
      <c r="A46" s="96"/>
      <c r="B46" s="96"/>
      <c r="C46" s="96"/>
    </row>
    <row r="47" ht="15.5" spans="1:3">
      <c r="A47" s="96"/>
      <c r="B47" s="96"/>
      <c r="C47" s="96"/>
    </row>
  </sheetData>
  <mergeCells count="26">
    <mergeCell ref="A1:D1"/>
    <mergeCell ref="A6:K6"/>
    <mergeCell ref="A7:G7"/>
    <mergeCell ref="H7:J7"/>
    <mergeCell ref="H8:J8"/>
    <mergeCell ref="A9:G9"/>
    <mergeCell ref="H11:I11"/>
    <mergeCell ref="B13:C13"/>
    <mergeCell ref="B21:C21"/>
    <mergeCell ref="B22:C22"/>
    <mergeCell ref="B23:C23"/>
    <mergeCell ref="B24:C24"/>
    <mergeCell ref="B25:C25"/>
    <mergeCell ref="A45:C45"/>
    <mergeCell ref="A46:C46"/>
    <mergeCell ref="A47:C47"/>
    <mergeCell ref="A11:A12"/>
    <mergeCell ref="B11:B12"/>
    <mergeCell ref="C11:C12"/>
    <mergeCell ref="D11:D12"/>
    <mergeCell ref="E11:E12"/>
    <mergeCell ref="F11:F12"/>
    <mergeCell ref="G11:G12"/>
    <mergeCell ref="J11:J12"/>
    <mergeCell ref="K11:K12"/>
    <mergeCell ref="L11:L12"/>
  </mergeCells>
  <pageMargins left="0.32" right="0.26" top="0.31496062992126" bottom="0.39" header="0.31496062992126" footer="0.17"/>
  <pageSetup paperSize="9" scale="97" fitToHeight="0" orientation="landscape"/>
  <headerFooter>
    <oddFooter>&amp;CTr.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6"/>
  <sheetViews>
    <sheetView tabSelected="1" topLeftCell="A38" workbookViewId="0">
      <selection activeCell="K19" sqref="K19"/>
    </sheetView>
  </sheetViews>
  <sheetFormatPr defaultColWidth="9" defaultRowHeight="14" outlineLevelCol="6"/>
  <cols>
    <col min="1" max="1" width="6.42727272727273" style="4" customWidth="1"/>
    <col min="2" max="2" width="24.5727272727273" style="5" customWidth="1"/>
    <col min="3" max="3" width="57" style="5" customWidth="1"/>
    <col min="4" max="4" width="10.2818181818182" style="5" customWidth="1"/>
    <col min="5" max="5" width="7" style="6" customWidth="1"/>
    <col min="6" max="6" width="9.85454545454546" style="5" customWidth="1"/>
    <col min="7" max="7" width="18.7090909090909" style="5" customWidth="1"/>
    <col min="8" max="8" width="13.8545454545455" style="5" customWidth="1"/>
    <col min="9" max="16384" width="9" style="5"/>
  </cols>
  <sheetData>
    <row r="1" s="1" customFormat="1" ht="5" customHeight="1" spans="1:7">
      <c r="A1" s="7"/>
      <c r="B1" s="8"/>
      <c r="C1" s="8"/>
      <c r="D1" s="8"/>
      <c r="E1" s="9"/>
      <c r="F1" s="8"/>
      <c r="G1" s="10"/>
    </row>
    <row r="2" s="1" customFormat="1" ht="15" hidden="1" customHeight="1" spans="1:7">
      <c r="A2" s="11"/>
      <c r="B2" s="12"/>
      <c r="C2" s="12"/>
      <c r="D2" s="12"/>
      <c r="E2" s="13"/>
      <c r="F2" s="14"/>
      <c r="G2" s="10"/>
    </row>
    <row r="3" s="1" customFormat="1" hidden="1" spans="1:7">
      <c r="A3" s="11"/>
      <c r="B3" s="12"/>
      <c r="C3" s="12"/>
      <c r="D3" s="12"/>
      <c r="E3" s="13"/>
      <c r="F3" s="14"/>
      <c r="G3" s="10"/>
    </row>
    <row r="4" s="1" customFormat="1" hidden="1" spans="1:7">
      <c r="A4" s="11"/>
      <c r="B4" s="12"/>
      <c r="C4" s="12"/>
      <c r="D4" s="12"/>
      <c r="E4" s="13"/>
      <c r="F4" s="15"/>
      <c r="G4" s="10"/>
    </row>
    <row r="5" s="1" customFormat="1" hidden="1" spans="1:7">
      <c r="A5" s="11"/>
      <c r="B5" s="12"/>
      <c r="C5" s="12"/>
      <c r="D5" s="12"/>
      <c r="E5" s="13"/>
      <c r="F5" s="15"/>
      <c r="G5" s="10"/>
    </row>
    <row r="6" ht="27.2" customHeight="1" spans="1:7">
      <c r="A6" s="16" t="s">
        <v>43</v>
      </c>
      <c r="B6" s="17"/>
      <c r="C6" s="17"/>
      <c r="D6" s="17"/>
      <c r="E6" s="17"/>
      <c r="F6" s="17"/>
    </row>
    <row r="7" ht="18" customHeight="1" spans="1:7">
      <c r="A7" s="18" t="s">
        <v>1</v>
      </c>
      <c r="B7" s="19"/>
      <c r="C7" s="19"/>
      <c r="D7" s="19"/>
      <c r="E7" s="19"/>
      <c r="F7" s="19"/>
    </row>
    <row r="8" ht="18.75" customHeight="1" spans="1:7">
      <c r="A8" s="20" t="s">
        <v>44</v>
      </c>
      <c r="B8" s="21"/>
      <c r="C8" s="21"/>
      <c r="D8" s="21"/>
      <c r="E8" s="22"/>
      <c r="F8" s="21"/>
    </row>
    <row r="9" ht="15.95" customHeight="1" spans="1:7">
      <c r="A9" s="23" t="s">
        <v>5</v>
      </c>
      <c r="B9" s="23" t="s">
        <v>6</v>
      </c>
      <c r="C9" s="23" t="s">
        <v>7</v>
      </c>
      <c r="D9" s="23" t="s">
        <v>8</v>
      </c>
      <c r="E9" s="23" t="s">
        <v>9</v>
      </c>
      <c r="F9" s="23" t="s">
        <v>45</v>
      </c>
    </row>
    <row r="10" spans="1:7">
      <c r="A10" s="23"/>
      <c r="B10" s="23"/>
      <c r="C10" s="23"/>
      <c r="D10" s="23"/>
      <c r="E10" s="23"/>
      <c r="F10" s="23"/>
    </row>
    <row r="11" s="2" customFormat="1" ht="15.5" spans="1:7">
      <c r="A11" s="24">
        <v>1</v>
      </c>
      <c r="B11" s="25" t="s">
        <v>46</v>
      </c>
      <c r="C11" s="25"/>
      <c r="D11" s="26" t="s">
        <v>19</v>
      </c>
      <c r="E11" s="26" t="s">
        <v>20</v>
      </c>
      <c r="F11" s="26">
        <v>7</v>
      </c>
      <c r="G11" s="27"/>
    </row>
    <row r="12" ht="15.5" spans="1:7">
      <c r="A12" s="28"/>
      <c r="B12" s="29" t="s">
        <v>47</v>
      </c>
      <c r="C12" s="30" t="s">
        <v>48</v>
      </c>
      <c r="D12" s="31"/>
      <c r="E12" s="32"/>
      <c r="F12" s="31"/>
    </row>
    <row r="13" ht="31" spans="1:7">
      <c r="A13" s="28"/>
      <c r="B13" s="29" t="s">
        <v>49</v>
      </c>
      <c r="C13" s="30" t="s">
        <v>50</v>
      </c>
      <c r="D13" s="31"/>
      <c r="E13" s="32"/>
      <c r="F13" s="31"/>
    </row>
    <row r="14" ht="31" spans="1:7">
      <c r="A14" s="28"/>
      <c r="B14" s="29" t="s">
        <v>51</v>
      </c>
      <c r="C14" s="30" t="s">
        <v>52</v>
      </c>
      <c r="D14" s="31"/>
      <c r="E14" s="32"/>
      <c r="F14" s="31"/>
    </row>
    <row r="15" ht="15.5" spans="1:7">
      <c r="A15" s="28"/>
      <c r="B15" s="29" t="s">
        <v>53</v>
      </c>
      <c r="C15" s="30" t="s">
        <v>54</v>
      </c>
      <c r="D15" s="31"/>
      <c r="E15" s="32"/>
      <c r="F15" s="31"/>
    </row>
    <row r="16" ht="15.5" spans="1:7">
      <c r="A16" s="28"/>
      <c r="B16" s="33" t="s">
        <v>55</v>
      </c>
      <c r="C16" s="34" t="s">
        <v>56</v>
      </c>
      <c r="D16" s="31"/>
      <c r="E16" s="32"/>
      <c r="F16" s="31"/>
    </row>
    <row r="17" ht="31" spans="1:7">
      <c r="A17" s="28"/>
      <c r="B17" s="33" t="s">
        <v>57</v>
      </c>
      <c r="C17" s="34" t="s">
        <v>58</v>
      </c>
      <c r="D17" s="31"/>
      <c r="E17" s="32"/>
      <c r="F17" s="31"/>
    </row>
    <row r="18" ht="15.5" spans="1:7">
      <c r="A18" s="28"/>
      <c r="B18" s="33" t="s">
        <v>59</v>
      </c>
      <c r="C18" s="34" t="s">
        <v>60</v>
      </c>
      <c r="D18" s="31"/>
      <c r="E18" s="32"/>
      <c r="F18" s="31"/>
    </row>
    <row r="19" ht="46.5" spans="1:7">
      <c r="A19" s="28"/>
      <c r="B19" s="29" t="s">
        <v>61</v>
      </c>
      <c r="C19" s="30" t="s">
        <v>62</v>
      </c>
      <c r="D19" s="31"/>
      <c r="E19" s="32"/>
      <c r="F19" s="31"/>
    </row>
    <row r="20" ht="15.5" spans="1:7">
      <c r="A20" s="28"/>
      <c r="B20" s="33" t="s">
        <v>63</v>
      </c>
      <c r="C20" s="34" t="s">
        <v>64</v>
      </c>
      <c r="D20" s="31"/>
      <c r="E20" s="32"/>
      <c r="F20" s="31"/>
    </row>
    <row r="21" ht="77.5" spans="1:7">
      <c r="A21" s="28"/>
      <c r="B21" s="33" t="s">
        <v>65</v>
      </c>
      <c r="C21" s="34" t="s">
        <v>66</v>
      </c>
      <c r="D21" s="31"/>
      <c r="E21" s="32"/>
      <c r="F21" s="31"/>
    </row>
    <row r="22" ht="15.5" spans="1:7">
      <c r="A22" s="28"/>
      <c r="B22" s="33" t="s">
        <v>67</v>
      </c>
      <c r="C22" s="34" t="s">
        <v>68</v>
      </c>
      <c r="D22" s="31"/>
      <c r="E22" s="32"/>
      <c r="F22" s="31"/>
    </row>
    <row r="23" ht="93" spans="1:7">
      <c r="A23" s="28"/>
      <c r="B23" s="33" t="s">
        <v>69</v>
      </c>
      <c r="C23" s="97" t="s">
        <v>70</v>
      </c>
      <c r="D23" s="31"/>
      <c r="E23" s="32"/>
      <c r="F23" s="31"/>
    </row>
    <row r="24" ht="15.5" spans="1:7">
      <c r="A24" s="28"/>
      <c r="B24" s="33" t="s">
        <v>71</v>
      </c>
      <c r="C24" s="34" t="s">
        <v>72</v>
      </c>
      <c r="D24" s="31"/>
      <c r="E24" s="32"/>
      <c r="F24" s="31"/>
    </row>
    <row r="25" ht="15.5" spans="1:7">
      <c r="A25" s="28"/>
      <c r="B25" s="33" t="s">
        <v>73</v>
      </c>
      <c r="C25" s="34" t="s">
        <v>74</v>
      </c>
      <c r="D25" s="31"/>
      <c r="E25" s="32"/>
      <c r="F25" s="31"/>
    </row>
    <row r="26" s="3" customFormat="1" ht="15.5" spans="1:7">
      <c r="A26" s="35">
        <v>2</v>
      </c>
      <c r="B26" s="36" t="s">
        <v>21</v>
      </c>
      <c r="C26" s="36" t="s">
        <v>22</v>
      </c>
      <c r="D26" s="35" t="s">
        <v>23</v>
      </c>
      <c r="E26" s="35" t="s">
        <v>20</v>
      </c>
      <c r="F26" s="35">
        <v>3</v>
      </c>
      <c r="G26" s="37"/>
    </row>
    <row r="27" s="3" customFormat="1" ht="31" spans="1:7">
      <c r="A27" s="38"/>
      <c r="B27" s="39" t="s">
        <v>75</v>
      </c>
      <c r="C27" s="39" t="s">
        <v>76</v>
      </c>
      <c r="D27" s="40"/>
      <c r="E27" s="35"/>
      <c r="F27" s="41"/>
    </row>
    <row r="28" s="3" customFormat="1" ht="46.5" spans="1:7">
      <c r="A28" s="38"/>
      <c r="B28" s="39" t="s">
        <v>77</v>
      </c>
      <c r="C28" s="39" t="s">
        <v>78</v>
      </c>
      <c r="D28" s="40"/>
      <c r="E28" s="35"/>
      <c r="F28" s="41"/>
    </row>
    <row r="29" s="3" customFormat="1" ht="15.5" spans="1:7">
      <c r="A29" s="38"/>
      <c r="B29" s="39" t="s">
        <v>79</v>
      </c>
      <c r="C29" s="39" t="s">
        <v>80</v>
      </c>
      <c r="D29" s="40"/>
      <c r="E29" s="35"/>
      <c r="F29" s="41"/>
    </row>
    <row r="30" s="3" customFormat="1" ht="31" spans="1:7">
      <c r="A30" s="38"/>
      <c r="B30" s="39" t="s">
        <v>81</v>
      </c>
      <c r="C30" s="39" t="s">
        <v>82</v>
      </c>
      <c r="D30" s="40"/>
      <c r="E30" s="35"/>
      <c r="F30" s="41"/>
    </row>
    <row r="31" s="3" customFormat="1" ht="15.5" spans="1:7">
      <c r="A31" s="38"/>
      <c r="B31" s="39" t="s">
        <v>83</v>
      </c>
      <c r="C31" s="39" t="s">
        <v>84</v>
      </c>
      <c r="D31" s="40"/>
      <c r="E31" s="35"/>
      <c r="F31" s="41"/>
    </row>
    <row r="32" ht="15.5" spans="1:7">
      <c r="A32" s="38"/>
      <c r="B32" s="39" t="s">
        <v>47</v>
      </c>
      <c r="C32" s="39" t="s">
        <v>85</v>
      </c>
      <c r="D32" s="40"/>
      <c r="E32" s="35"/>
      <c r="F32" s="42"/>
    </row>
    <row r="33" s="3" customFormat="1" ht="15.5" spans="1:7">
      <c r="A33" s="38"/>
      <c r="B33" s="39" t="s">
        <v>86</v>
      </c>
      <c r="C33" s="39" t="s">
        <v>87</v>
      </c>
      <c r="D33" s="40"/>
      <c r="E33" s="35"/>
      <c r="F33" s="41"/>
    </row>
    <row r="34" s="3" customFormat="1" ht="31" spans="1:7">
      <c r="A34" s="38"/>
      <c r="B34" s="39" t="s">
        <v>65</v>
      </c>
      <c r="C34" s="39" t="s">
        <v>88</v>
      </c>
      <c r="D34" s="40"/>
      <c r="E34" s="35"/>
      <c r="F34" s="41"/>
    </row>
    <row r="35" ht="15.5" spans="1:7">
      <c r="A35" s="38"/>
      <c r="B35" s="39" t="s">
        <v>89</v>
      </c>
      <c r="C35" s="39" t="s">
        <v>90</v>
      </c>
      <c r="D35" s="40"/>
      <c r="E35" s="35"/>
      <c r="F35" s="42"/>
    </row>
    <row r="36" s="3" customFormat="1" ht="15.5" spans="1:7">
      <c r="A36" s="38"/>
      <c r="B36" s="98" t="s">
        <v>91</v>
      </c>
      <c r="C36" s="39" t="s">
        <v>92</v>
      </c>
      <c r="D36" s="40"/>
      <c r="E36" s="35"/>
      <c r="F36" s="41"/>
    </row>
    <row r="37" s="3" customFormat="1" ht="31" spans="1:7">
      <c r="A37" s="38"/>
      <c r="B37" s="39" t="s">
        <v>93</v>
      </c>
      <c r="C37" s="39" t="s">
        <v>94</v>
      </c>
      <c r="D37" s="40"/>
      <c r="E37" s="35"/>
      <c r="F37" s="41"/>
    </row>
    <row r="38" s="3" customFormat="1" ht="36" customHeight="1" spans="1:7">
      <c r="A38" s="38"/>
      <c r="B38" s="39" t="s">
        <v>95</v>
      </c>
      <c r="C38" s="39" t="s">
        <v>96</v>
      </c>
      <c r="D38" s="40"/>
      <c r="E38" s="35"/>
      <c r="F38" s="41"/>
    </row>
    <row r="39" s="3" customFormat="1" ht="40.5" customHeight="1" spans="1:7">
      <c r="A39" s="38"/>
      <c r="B39" s="39" t="s">
        <v>73</v>
      </c>
      <c r="C39" s="30" t="s">
        <v>97</v>
      </c>
      <c r="D39" s="40"/>
      <c r="E39" s="35"/>
      <c r="F39" s="41"/>
    </row>
    <row r="40" ht="15.95" customHeight="1" spans="1:7">
      <c r="A40" s="43">
        <v>3</v>
      </c>
      <c r="B40" s="44" t="s">
        <v>24</v>
      </c>
      <c r="C40" s="44" t="s">
        <v>25</v>
      </c>
      <c r="D40" s="43" t="s">
        <v>98</v>
      </c>
      <c r="E40" s="45" t="s">
        <v>26</v>
      </c>
      <c r="F40" s="43">
        <v>2</v>
      </c>
      <c r="G40" s="46"/>
    </row>
    <row r="41" ht="15.5" spans="1:7">
      <c r="A41" s="47"/>
      <c r="B41" s="48"/>
      <c r="C41" s="48" t="s">
        <v>99</v>
      </c>
      <c r="D41" s="48"/>
      <c r="E41" s="45"/>
      <c r="F41" s="47">
        <v>1</v>
      </c>
    </row>
    <row r="42" ht="15.5" spans="1:7">
      <c r="A42" s="47"/>
      <c r="B42" s="48"/>
      <c r="C42" s="48" t="s">
        <v>100</v>
      </c>
      <c r="D42" s="48"/>
      <c r="E42" s="45"/>
      <c r="F42" s="47">
        <v>1</v>
      </c>
    </row>
    <row r="43" ht="15.5" spans="1:7">
      <c r="A43" s="47"/>
      <c r="B43" s="48"/>
      <c r="C43" s="48" t="s">
        <v>101</v>
      </c>
      <c r="D43" s="48"/>
      <c r="E43" s="45"/>
      <c r="F43" s="47">
        <v>2</v>
      </c>
    </row>
    <row r="44" ht="15.5" spans="1:7">
      <c r="A44" s="47"/>
      <c r="B44" s="48"/>
      <c r="C44" s="48" t="s">
        <v>102</v>
      </c>
      <c r="D44" s="48"/>
      <c r="E44" s="45"/>
      <c r="F44" s="47">
        <v>2</v>
      </c>
    </row>
    <row r="45" ht="15.5" spans="1:7">
      <c r="A45" s="47"/>
      <c r="B45" s="48"/>
      <c r="C45" s="48" t="s">
        <v>103</v>
      </c>
      <c r="D45" s="48"/>
      <c r="E45" s="45"/>
      <c r="F45" s="47">
        <v>10</v>
      </c>
    </row>
    <row r="46" ht="15.5" spans="1:7">
      <c r="A46" s="47"/>
      <c r="B46" s="48"/>
      <c r="C46" s="48" t="s">
        <v>104</v>
      </c>
      <c r="D46" s="48"/>
      <c r="E46" s="45"/>
      <c r="F46" s="47">
        <v>1</v>
      </c>
    </row>
    <row r="47" ht="15.5" spans="1:7">
      <c r="A47" s="47"/>
      <c r="B47" s="48"/>
      <c r="C47" s="48" t="s">
        <v>105</v>
      </c>
      <c r="D47" s="48"/>
      <c r="E47" s="45"/>
      <c r="F47" s="47">
        <v>1</v>
      </c>
    </row>
    <row r="48" ht="15.5" spans="1:7">
      <c r="A48" s="47"/>
      <c r="B48" s="48"/>
      <c r="C48" s="48" t="s">
        <v>106</v>
      </c>
      <c r="D48" s="48"/>
      <c r="E48" s="45"/>
      <c r="F48" s="47">
        <v>1</v>
      </c>
    </row>
    <row r="49" ht="15.5" spans="1:6">
      <c r="A49" s="47"/>
      <c r="B49" s="48"/>
      <c r="C49" s="48" t="s">
        <v>107</v>
      </c>
      <c r="D49" s="48"/>
      <c r="E49" s="45"/>
      <c r="F49" s="47">
        <v>1</v>
      </c>
    </row>
    <row r="50" ht="15.5" spans="1:6">
      <c r="A50" s="47"/>
      <c r="B50" s="48"/>
      <c r="C50" s="48" t="s">
        <v>108</v>
      </c>
      <c r="D50" s="48"/>
      <c r="E50" s="45"/>
      <c r="F50" s="47">
        <v>1</v>
      </c>
    </row>
    <row r="51" ht="15.5" spans="1:6">
      <c r="A51" s="47"/>
      <c r="B51" s="48"/>
      <c r="C51" s="48" t="s">
        <v>109</v>
      </c>
      <c r="D51" s="48"/>
      <c r="E51" s="45"/>
      <c r="F51" s="47">
        <v>1</v>
      </c>
    </row>
    <row r="52" ht="15.5" spans="1:6">
      <c r="A52" s="47"/>
      <c r="B52" s="48"/>
      <c r="C52" s="48" t="s">
        <v>110</v>
      </c>
      <c r="D52" s="48"/>
      <c r="E52" s="45"/>
      <c r="F52" s="47">
        <v>1</v>
      </c>
    </row>
    <row r="53" ht="15.5" spans="1:6">
      <c r="A53" s="47"/>
      <c r="B53" s="48"/>
      <c r="C53" s="48" t="s">
        <v>111</v>
      </c>
      <c r="D53" s="48"/>
      <c r="E53" s="45"/>
      <c r="F53" s="47">
        <v>1</v>
      </c>
    </row>
    <row r="54" ht="15.5" spans="1:6">
      <c r="A54" s="47"/>
      <c r="B54" s="48"/>
      <c r="C54" s="48" t="s">
        <v>112</v>
      </c>
      <c r="D54" s="48"/>
      <c r="E54" s="45"/>
      <c r="F54" s="47">
        <v>2</v>
      </c>
    </row>
    <row r="55" ht="15.5" spans="1:6">
      <c r="A55" s="47"/>
      <c r="B55" s="48"/>
      <c r="C55" s="48" t="s">
        <v>113</v>
      </c>
      <c r="D55" s="48"/>
      <c r="E55" s="45"/>
      <c r="F55" s="47">
        <v>2</v>
      </c>
    </row>
    <row r="56" ht="15.5" spans="1:6">
      <c r="A56" s="47"/>
      <c r="B56" s="48"/>
      <c r="C56" s="48" t="s">
        <v>114</v>
      </c>
      <c r="D56" s="48"/>
      <c r="E56" s="45"/>
      <c r="F56" s="47">
        <v>1</v>
      </c>
    </row>
    <row r="57" ht="15.5" spans="1:6">
      <c r="A57" s="47"/>
      <c r="B57" s="48"/>
      <c r="C57" s="48" t="s">
        <v>115</v>
      </c>
      <c r="D57" s="48"/>
      <c r="E57" s="45"/>
      <c r="F57" s="47">
        <v>1</v>
      </c>
    </row>
    <row r="58" ht="15.5" spans="1:6">
      <c r="A58" s="47"/>
      <c r="B58" s="48"/>
      <c r="C58" s="48" t="s">
        <v>116</v>
      </c>
      <c r="D58" s="48"/>
      <c r="E58" s="45"/>
      <c r="F58" s="47">
        <v>1</v>
      </c>
    </row>
    <row r="59" ht="15" spans="1:6">
      <c r="A59" s="43">
        <v>4</v>
      </c>
      <c r="B59" s="44" t="s">
        <v>27</v>
      </c>
      <c r="C59" s="49" t="s">
        <v>28</v>
      </c>
      <c r="D59" s="43" t="s">
        <v>98</v>
      </c>
      <c r="E59" s="45" t="s">
        <v>26</v>
      </c>
      <c r="F59" s="43">
        <v>1</v>
      </c>
    </row>
    <row r="60" ht="15.5" spans="1:6">
      <c r="A60" s="47"/>
      <c r="B60" s="48"/>
      <c r="C60" s="48" t="s">
        <v>117</v>
      </c>
      <c r="D60" s="48"/>
      <c r="E60" s="45"/>
      <c r="F60" s="47">
        <v>1</v>
      </c>
    </row>
    <row r="61" ht="15.5" spans="1:6">
      <c r="A61" s="47"/>
      <c r="B61" s="48"/>
      <c r="C61" s="48" t="s">
        <v>118</v>
      </c>
      <c r="D61" s="48"/>
      <c r="E61" s="45"/>
      <c r="F61" s="47">
        <v>2</v>
      </c>
    </row>
    <row r="62" ht="15.5" spans="1:6">
      <c r="A62" s="47"/>
      <c r="B62" s="48"/>
      <c r="C62" s="48" t="s">
        <v>119</v>
      </c>
      <c r="D62" s="48"/>
      <c r="E62" s="45"/>
      <c r="F62" s="47">
        <v>2</v>
      </c>
    </row>
    <row r="63" ht="15.5" spans="1:6">
      <c r="A63" s="47"/>
      <c r="B63" s="48"/>
      <c r="C63" s="48" t="s">
        <v>120</v>
      </c>
      <c r="D63" s="48"/>
      <c r="E63" s="45"/>
      <c r="F63" s="47">
        <v>1</v>
      </c>
    </row>
    <row r="64" ht="15.5" spans="1:6">
      <c r="A64" s="47"/>
      <c r="B64" s="48"/>
      <c r="C64" s="48" t="s">
        <v>121</v>
      </c>
      <c r="D64" s="48"/>
      <c r="E64" s="45"/>
      <c r="F64" s="47">
        <v>1</v>
      </c>
    </row>
    <row r="65" ht="15.5" spans="1:6">
      <c r="A65" s="47"/>
      <c r="B65" s="48"/>
      <c r="C65" s="48" t="s">
        <v>108</v>
      </c>
      <c r="D65" s="48"/>
      <c r="E65" s="45"/>
      <c r="F65" s="47">
        <v>1</v>
      </c>
    </row>
    <row r="66" ht="15.5" spans="1:6">
      <c r="A66" s="47"/>
      <c r="B66" s="48"/>
      <c r="C66" s="48" t="s">
        <v>109</v>
      </c>
      <c r="D66" s="48"/>
      <c r="E66" s="45"/>
      <c r="F66" s="47">
        <v>1</v>
      </c>
    </row>
    <row r="67" ht="15.5" spans="1:6">
      <c r="A67" s="47"/>
      <c r="B67" s="48"/>
      <c r="C67" s="48" t="s">
        <v>111</v>
      </c>
      <c r="D67" s="48"/>
      <c r="E67" s="45"/>
      <c r="F67" s="47">
        <v>1</v>
      </c>
    </row>
    <row r="68" ht="15.5" spans="1:6">
      <c r="A68" s="47"/>
      <c r="B68" s="48"/>
      <c r="C68" s="48" t="s">
        <v>122</v>
      </c>
      <c r="D68" s="48"/>
      <c r="E68" s="45"/>
      <c r="F68" s="47">
        <v>2</v>
      </c>
    </row>
    <row r="69" ht="15.5" spans="1:6">
      <c r="A69" s="47"/>
      <c r="B69" s="48"/>
      <c r="C69" s="48" t="s">
        <v>113</v>
      </c>
      <c r="D69" s="48"/>
      <c r="E69" s="45"/>
      <c r="F69" s="47">
        <v>2</v>
      </c>
    </row>
    <row r="70" ht="15.5" spans="1:6">
      <c r="A70" s="47"/>
      <c r="B70" s="48"/>
      <c r="C70" s="48" t="s">
        <v>123</v>
      </c>
      <c r="D70" s="48"/>
      <c r="E70" s="45"/>
      <c r="F70" s="47">
        <v>1</v>
      </c>
    </row>
    <row r="71" ht="15.5" spans="1:6">
      <c r="A71" s="47"/>
      <c r="B71" s="48"/>
      <c r="C71" s="48" t="s">
        <v>116</v>
      </c>
      <c r="D71" s="48"/>
      <c r="E71" s="45"/>
      <c r="F71" s="47">
        <v>1</v>
      </c>
    </row>
    <row r="72" ht="15" spans="1:6">
      <c r="A72" s="43">
        <v>5</v>
      </c>
      <c r="B72" s="44" t="s">
        <v>29</v>
      </c>
      <c r="C72" s="44" t="s">
        <v>30</v>
      </c>
      <c r="D72" s="43" t="s">
        <v>98</v>
      </c>
      <c r="E72" s="45" t="s">
        <v>26</v>
      </c>
      <c r="F72" s="43">
        <v>1</v>
      </c>
    </row>
    <row r="73" ht="15.5" spans="1:6">
      <c r="A73" s="47"/>
      <c r="B73" s="48"/>
      <c r="C73" s="48" t="s">
        <v>117</v>
      </c>
      <c r="D73" s="48"/>
      <c r="E73" s="45"/>
      <c r="F73" s="47">
        <v>1</v>
      </c>
    </row>
    <row r="74" ht="15.5" spans="1:6">
      <c r="A74" s="47"/>
      <c r="B74" s="48"/>
      <c r="C74" s="48" t="s">
        <v>118</v>
      </c>
      <c r="D74" s="48"/>
      <c r="E74" s="45"/>
      <c r="F74" s="47">
        <v>2</v>
      </c>
    </row>
    <row r="75" ht="15.5" spans="1:6">
      <c r="A75" s="47"/>
      <c r="B75" s="48"/>
      <c r="C75" s="48" t="s">
        <v>124</v>
      </c>
      <c r="D75" s="48"/>
      <c r="E75" s="45"/>
      <c r="F75" s="47">
        <v>2</v>
      </c>
    </row>
    <row r="76" ht="15.5" spans="1:6">
      <c r="A76" s="47"/>
      <c r="B76" s="48"/>
      <c r="C76" s="48" t="s">
        <v>125</v>
      </c>
      <c r="D76" s="48"/>
      <c r="E76" s="45"/>
      <c r="F76" s="47">
        <v>2</v>
      </c>
    </row>
    <row r="77" ht="15.5" spans="1:6">
      <c r="A77" s="47"/>
      <c r="B77" s="48"/>
      <c r="C77" s="48" t="s">
        <v>126</v>
      </c>
      <c r="D77" s="48"/>
      <c r="E77" s="45"/>
      <c r="F77" s="47">
        <v>1</v>
      </c>
    </row>
    <row r="78" ht="15.5" spans="1:6">
      <c r="A78" s="47"/>
      <c r="B78" s="48"/>
      <c r="C78" s="48" t="s">
        <v>105</v>
      </c>
      <c r="D78" s="48"/>
      <c r="E78" s="45"/>
      <c r="F78" s="47">
        <v>1</v>
      </c>
    </row>
    <row r="79" ht="15.5" spans="1:6">
      <c r="A79" s="47"/>
      <c r="B79" s="48"/>
      <c r="C79" s="48" t="s">
        <v>121</v>
      </c>
      <c r="D79" s="48"/>
      <c r="E79" s="45"/>
      <c r="F79" s="47">
        <v>1</v>
      </c>
    </row>
    <row r="80" ht="15.5" spans="1:6">
      <c r="A80" s="47"/>
      <c r="B80" s="48"/>
      <c r="C80" s="48" t="s">
        <v>108</v>
      </c>
      <c r="D80" s="48"/>
      <c r="E80" s="45"/>
      <c r="F80" s="47">
        <v>1</v>
      </c>
    </row>
    <row r="81" ht="15.5" spans="1:6">
      <c r="A81" s="47"/>
      <c r="B81" s="48"/>
      <c r="C81" s="48" t="s">
        <v>109</v>
      </c>
      <c r="D81" s="48"/>
      <c r="E81" s="45"/>
      <c r="F81" s="47">
        <v>1</v>
      </c>
    </row>
    <row r="82" ht="15.5" spans="1:6">
      <c r="A82" s="47"/>
      <c r="B82" s="48"/>
      <c r="C82" s="48" t="s">
        <v>111</v>
      </c>
      <c r="D82" s="48"/>
      <c r="E82" s="45"/>
      <c r="F82" s="47">
        <v>1</v>
      </c>
    </row>
    <row r="83" ht="15.5" spans="1:6">
      <c r="A83" s="47"/>
      <c r="B83" s="48"/>
      <c r="C83" s="48" t="s">
        <v>127</v>
      </c>
      <c r="D83" s="48"/>
      <c r="E83" s="45"/>
      <c r="F83" s="47">
        <v>2</v>
      </c>
    </row>
    <row r="84" ht="15.5" spans="1:6">
      <c r="A84" s="47"/>
      <c r="B84" s="48"/>
      <c r="C84" s="48" t="s">
        <v>113</v>
      </c>
      <c r="D84" s="48"/>
      <c r="E84" s="45"/>
      <c r="F84" s="47">
        <v>2</v>
      </c>
    </row>
    <row r="85" ht="15.5" spans="1:6">
      <c r="A85" s="47"/>
      <c r="B85" s="48"/>
      <c r="C85" s="48" t="s">
        <v>123</v>
      </c>
      <c r="D85" s="48"/>
      <c r="E85" s="45"/>
      <c r="F85" s="47">
        <v>1</v>
      </c>
    </row>
    <row r="86" ht="15.5" spans="1:6">
      <c r="A86" s="47"/>
      <c r="B86" s="48"/>
      <c r="C86" s="48" t="s">
        <v>116</v>
      </c>
      <c r="D86" s="48"/>
      <c r="E86" s="45"/>
      <c r="F86" s="47">
        <v>1</v>
      </c>
    </row>
    <row r="87" ht="15.5" spans="1:6">
      <c r="A87" s="43">
        <v>6</v>
      </c>
      <c r="B87" s="44" t="s">
        <v>27</v>
      </c>
      <c r="C87" s="44" t="s">
        <v>31</v>
      </c>
      <c r="D87" s="43" t="s">
        <v>98</v>
      </c>
      <c r="E87" s="45" t="s">
        <v>26</v>
      </c>
      <c r="F87" s="47">
        <v>1</v>
      </c>
    </row>
    <row r="88" ht="15.5" spans="1:6">
      <c r="A88" s="47"/>
      <c r="B88" s="48"/>
      <c r="C88" s="48" t="s">
        <v>117</v>
      </c>
      <c r="D88" s="48"/>
      <c r="E88" s="45"/>
      <c r="F88" s="47">
        <v>1</v>
      </c>
    </row>
    <row r="89" ht="15.5" spans="1:6">
      <c r="A89" s="47"/>
      <c r="B89" s="48"/>
      <c r="C89" s="48" t="s">
        <v>118</v>
      </c>
      <c r="D89" s="48"/>
      <c r="E89" s="45"/>
      <c r="F89" s="47">
        <v>1</v>
      </c>
    </row>
    <row r="90" ht="15.5" spans="1:6">
      <c r="A90" s="47"/>
      <c r="B90" s="48"/>
      <c r="C90" s="48" t="s">
        <v>119</v>
      </c>
      <c r="D90" s="48"/>
      <c r="E90" s="45"/>
      <c r="F90" s="47">
        <v>2</v>
      </c>
    </row>
    <row r="91" ht="15.5" spans="1:6">
      <c r="A91" s="47"/>
      <c r="B91" s="48"/>
      <c r="C91" s="48" t="s">
        <v>120</v>
      </c>
      <c r="D91" s="48"/>
      <c r="E91" s="45"/>
      <c r="F91" s="47">
        <v>1</v>
      </c>
    </row>
    <row r="92" ht="15.5" spans="1:6">
      <c r="A92" s="47"/>
      <c r="B92" s="48"/>
      <c r="C92" s="48" t="s">
        <v>121</v>
      </c>
      <c r="D92" s="48"/>
      <c r="E92" s="45"/>
      <c r="F92" s="47">
        <v>1</v>
      </c>
    </row>
    <row r="93" ht="15.5" spans="1:6">
      <c r="A93" s="47"/>
      <c r="B93" s="48"/>
      <c r="C93" s="48" t="s">
        <v>108</v>
      </c>
      <c r="D93" s="48"/>
      <c r="E93" s="45"/>
      <c r="F93" s="47">
        <v>1</v>
      </c>
    </row>
    <row r="94" ht="15.5" spans="1:6">
      <c r="A94" s="47"/>
      <c r="B94" s="48"/>
      <c r="C94" s="48" t="s">
        <v>109</v>
      </c>
      <c r="D94" s="48"/>
      <c r="E94" s="45"/>
      <c r="F94" s="47">
        <v>1</v>
      </c>
    </row>
    <row r="95" ht="15.5" spans="1:6">
      <c r="A95" s="47"/>
      <c r="B95" s="48"/>
      <c r="C95" s="48" t="s">
        <v>111</v>
      </c>
      <c r="D95" s="48"/>
      <c r="E95" s="45"/>
      <c r="F95" s="47">
        <v>1</v>
      </c>
    </row>
    <row r="96" ht="15.5" spans="1:6">
      <c r="A96" s="47"/>
      <c r="B96" s="48"/>
      <c r="C96" s="48" t="s">
        <v>122</v>
      </c>
      <c r="D96" s="48"/>
      <c r="E96" s="45"/>
      <c r="F96" s="47">
        <v>2</v>
      </c>
    </row>
    <row r="97" ht="15.5" spans="1:6">
      <c r="A97" s="47"/>
      <c r="B97" s="48"/>
      <c r="C97" s="48" t="s">
        <v>113</v>
      </c>
      <c r="D97" s="48"/>
      <c r="E97" s="45"/>
      <c r="F97" s="47">
        <v>2</v>
      </c>
    </row>
    <row r="98" ht="15.5" spans="1:6">
      <c r="A98" s="47"/>
      <c r="B98" s="48"/>
      <c r="C98" s="48" t="s">
        <v>123</v>
      </c>
      <c r="D98" s="48"/>
      <c r="E98" s="45"/>
      <c r="F98" s="47">
        <v>1</v>
      </c>
    </row>
    <row r="99" ht="15.5" spans="1:6">
      <c r="A99" s="47"/>
      <c r="B99" s="48"/>
      <c r="C99" s="48" t="s">
        <v>116</v>
      </c>
      <c r="D99" s="48"/>
      <c r="E99" s="45"/>
      <c r="F99" s="47">
        <v>1</v>
      </c>
    </row>
    <row r="100" ht="15" spans="1:6">
      <c r="A100" s="43">
        <v>7</v>
      </c>
      <c r="B100" s="44" t="s">
        <v>32</v>
      </c>
      <c r="C100" s="44" t="s">
        <v>33</v>
      </c>
      <c r="D100" s="43" t="s">
        <v>98</v>
      </c>
      <c r="E100" s="45" t="s">
        <v>26</v>
      </c>
      <c r="F100" s="43">
        <v>2</v>
      </c>
    </row>
    <row r="101" ht="15.5" spans="1:6">
      <c r="A101" s="47"/>
      <c r="B101" s="48"/>
      <c r="C101" s="48" t="s">
        <v>128</v>
      </c>
      <c r="D101" s="48"/>
      <c r="E101" s="45"/>
      <c r="F101" s="47">
        <v>1</v>
      </c>
    </row>
    <row r="102" ht="15.5" spans="1:6">
      <c r="A102" s="47"/>
      <c r="B102" s="48"/>
      <c r="C102" s="48" t="s">
        <v>100</v>
      </c>
      <c r="D102" s="48"/>
      <c r="E102" s="45"/>
      <c r="F102" s="47">
        <v>1</v>
      </c>
    </row>
    <row r="103" ht="15.5" spans="1:6">
      <c r="A103" s="47"/>
      <c r="B103" s="48"/>
      <c r="C103" s="48" t="s">
        <v>129</v>
      </c>
      <c r="D103" s="48"/>
      <c r="E103" s="45"/>
      <c r="F103" s="47">
        <v>2</v>
      </c>
    </row>
    <row r="104" ht="15.5" spans="1:6">
      <c r="A104" s="47"/>
      <c r="B104" s="48"/>
      <c r="C104" s="48" t="s">
        <v>130</v>
      </c>
      <c r="D104" s="48"/>
      <c r="E104" s="45"/>
      <c r="F104" s="47">
        <v>1</v>
      </c>
    </row>
    <row r="105" ht="15.5" spans="1:6">
      <c r="A105" s="47"/>
      <c r="B105" s="48"/>
      <c r="C105" s="48" t="s">
        <v>131</v>
      </c>
      <c r="D105" s="48"/>
      <c r="E105" s="45"/>
      <c r="F105" s="47">
        <v>2</v>
      </c>
    </row>
    <row r="106" ht="15.5" spans="1:6">
      <c r="A106" s="47"/>
      <c r="B106" s="48"/>
      <c r="C106" s="48" t="s">
        <v>132</v>
      </c>
      <c r="D106" s="48"/>
      <c r="E106" s="45"/>
      <c r="F106" s="47">
        <v>1</v>
      </c>
    </row>
    <row r="107" ht="15.5" spans="1:6">
      <c r="A107" s="47"/>
      <c r="B107" s="48"/>
      <c r="C107" s="48" t="s">
        <v>133</v>
      </c>
      <c r="D107" s="48"/>
      <c r="E107" s="45"/>
      <c r="F107" s="47">
        <v>1</v>
      </c>
    </row>
    <row r="108" ht="15.5" spans="1:6">
      <c r="A108" s="47"/>
      <c r="B108" s="48"/>
      <c r="C108" s="48" t="s">
        <v>106</v>
      </c>
      <c r="D108" s="48"/>
      <c r="E108" s="45"/>
      <c r="F108" s="47">
        <v>1</v>
      </c>
    </row>
    <row r="109" ht="15.5" spans="1:6">
      <c r="A109" s="47"/>
      <c r="B109" s="48"/>
      <c r="C109" s="48" t="s">
        <v>121</v>
      </c>
      <c r="D109" s="48"/>
      <c r="E109" s="45"/>
      <c r="F109" s="47">
        <v>1</v>
      </c>
    </row>
    <row r="110" ht="15.5" spans="1:6">
      <c r="A110" s="47"/>
      <c r="B110" s="48"/>
      <c r="C110" s="48" t="s">
        <v>108</v>
      </c>
      <c r="D110" s="48"/>
      <c r="E110" s="45"/>
      <c r="F110" s="47">
        <v>1</v>
      </c>
    </row>
    <row r="111" ht="15.5" spans="1:6">
      <c r="A111" s="47"/>
      <c r="B111" s="48"/>
      <c r="C111" s="48" t="s">
        <v>109</v>
      </c>
      <c r="D111" s="48"/>
      <c r="E111" s="45"/>
      <c r="F111" s="47">
        <v>1</v>
      </c>
    </row>
    <row r="112" ht="15.5" spans="1:6">
      <c r="A112" s="47"/>
      <c r="B112" s="48"/>
      <c r="C112" s="48" t="s">
        <v>110</v>
      </c>
      <c r="D112" s="48"/>
      <c r="E112" s="45"/>
      <c r="F112" s="47">
        <v>1</v>
      </c>
    </row>
    <row r="113" ht="15.5" spans="1:6">
      <c r="A113" s="47"/>
      <c r="B113" s="48"/>
      <c r="C113" s="48" t="s">
        <v>111</v>
      </c>
      <c r="D113" s="48"/>
      <c r="E113" s="45"/>
      <c r="F113" s="47">
        <v>1</v>
      </c>
    </row>
    <row r="114" ht="15.5" spans="1:6">
      <c r="A114" s="47"/>
      <c r="B114" s="48"/>
      <c r="C114" s="48" t="s">
        <v>134</v>
      </c>
      <c r="D114" s="48"/>
      <c r="E114" s="45"/>
      <c r="F114" s="47">
        <v>2</v>
      </c>
    </row>
    <row r="115" ht="15.5" spans="1:6">
      <c r="A115" s="47"/>
      <c r="B115" s="48"/>
      <c r="C115" s="48" t="s">
        <v>113</v>
      </c>
      <c r="D115" s="48"/>
      <c r="E115" s="45"/>
      <c r="F115" s="47">
        <v>2</v>
      </c>
    </row>
    <row r="116" ht="15.5" spans="1:6">
      <c r="A116" s="47"/>
      <c r="B116" s="48"/>
      <c r="C116" s="48" t="s">
        <v>114</v>
      </c>
      <c r="D116" s="48"/>
      <c r="E116" s="45"/>
      <c r="F116" s="47">
        <v>1</v>
      </c>
    </row>
    <row r="117" ht="15.5" spans="1:6">
      <c r="A117" s="47"/>
      <c r="B117" s="48"/>
      <c r="C117" s="48" t="s">
        <v>115</v>
      </c>
      <c r="D117" s="48"/>
      <c r="E117" s="45"/>
      <c r="F117" s="47">
        <v>1</v>
      </c>
    </row>
    <row r="118" ht="15.5" spans="1:6">
      <c r="A118" s="47"/>
      <c r="B118" s="48"/>
      <c r="C118" s="48" t="s">
        <v>116</v>
      </c>
      <c r="D118" s="48"/>
      <c r="E118" s="45"/>
      <c r="F118" s="47">
        <v>1</v>
      </c>
    </row>
    <row r="119" ht="15" spans="1:6">
      <c r="A119" s="43">
        <v>8</v>
      </c>
      <c r="B119" s="44" t="s">
        <v>34</v>
      </c>
      <c r="C119" s="49" t="s">
        <v>35</v>
      </c>
      <c r="D119" s="43" t="s">
        <v>98</v>
      </c>
      <c r="E119" s="45" t="s">
        <v>26</v>
      </c>
      <c r="F119" s="43">
        <v>1</v>
      </c>
    </row>
    <row r="120" ht="15.5" spans="1:6">
      <c r="A120" s="43"/>
      <c r="B120" s="44"/>
      <c r="C120" s="48" t="s">
        <v>135</v>
      </c>
      <c r="D120" s="44"/>
      <c r="E120" s="45"/>
      <c r="F120" s="47">
        <v>1</v>
      </c>
    </row>
    <row r="121" ht="15.5" spans="1:6">
      <c r="A121" s="43"/>
      <c r="B121" s="44"/>
      <c r="C121" s="48" t="s">
        <v>136</v>
      </c>
      <c r="D121" s="44"/>
      <c r="E121" s="45"/>
      <c r="F121" s="47">
        <v>2</v>
      </c>
    </row>
    <row r="122" ht="15.5" spans="1:6">
      <c r="A122" s="43"/>
      <c r="B122" s="44"/>
      <c r="C122" s="48" t="s">
        <v>137</v>
      </c>
      <c r="D122" s="44"/>
      <c r="E122" s="45"/>
      <c r="F122" s="47">
        <v>2</v>
      </c>
    </row>
    <row r="123" ht="15.5" spans="1:6">
      <c r="A123" s="43"/>
      <c r="B123" s="44"/>
      <c r="C123" s="50" t="s">
        <v>138</v>
      </c>
      <c r="D123" s="44"/>
      <c r="E123" s="45"/>
      <c r="F123" s="51">
        <v>5</v>
      </c>
    </row>
    <row r="124" ht="15.5" spans="1:6">
      <c r="A124" s="43"/>
      <c r="B124" s="44"/>
      <c r="C124" s="50" t="s">
        <v>139</v>
      </c>
      <c r="D124" s="44"/>
      <c r="E124" s="45"/>
      <c r="F124" s="51">
        <v>10</v>
      </c>
    </row>
    <row r="125" ht="15.5" spans="1:6">
      <c r="A125" s="43"/>
      <c r="B125" s="44"/>
      <c r="C125" s="48" t="s">
        <v>140</v>
      </c>
      <c r="D125" s="44"/>
      <c r="E125" s="45"/>
      <c r="F125" s="47">
        <v>1</v>
      </c>
    </row>
    <row r="126" ht="15.5" spans="1:6">
      <c r="A126" s="47"/>
      <c r="B126" s="48"/>
      <c r="C126" s="48" t="s">
        <v>116</v>
      </c>
      <c r="D126" s="48"/>
      <c r="E126" s="45"/>
      <c r="F126" s="47">
        <v>1</v>
      </c>
    </row>
  </sheetData>
  <mergeCells count="10">
    <mergeCell ref="A1:D1"/>
    <mergeCell ref="A6:F6"/>
    <mergeCell ref="A7:F7"/>
    <mergeCell ref="B11:C11"/>
    <mergeCell ref="A9:A10"/>
    <mergeCell ref="B9:B10"/>
    <mergeCell ref="C9:C10"/>
    <mergeCell ref="D9:D10"/>
    <mergeCell ref="E9:E10"/>
    <mergeCell ref="F9:F10"/>
  </mergeCells>
  <pageMargins left="0.32" right="0.26" top="0.31496062992126" bottom="0.39" header="0.31496062992126" footer="0.17"/>
  <pageSetup paperSize="9" scale="97" fitToHeight="0" orientation="landscape"/>
  <headerFooter>
    <oddFooter>&amp;CTr.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BG-2026</vt:lpstr>
      <vt:lpstr>Cấu Hình kỹ thuật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 Le Thanh</dc:creator>
  <cp:lastModifiedBy>ADMIN</cp:lastModifiedBy>
  <dcterms:created xsi:type="dcterms:W3CDTF">2015-06-05T18:17:00Z</dcterms:created>
  <cp:lastPrinted>2026-09-08T02:40:00Z</cp:lastPrinted>
  <dcterms:modified xsi:type="dcterms:W3CDTF">2026-09-10T04:01:55Z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A92786EB82744AEC9B09171111149FF4_13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