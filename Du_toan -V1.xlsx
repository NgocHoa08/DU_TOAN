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885" tabRatio="500"/>
  </bookViews>
  <sheets>
    <sheet name="Tổng hợp" sheetId="1" r:id="rId1"/>
    <sheet name="1" sheetId="2" r:id="rId2"/>
    <sheet name="2" sheetId="3" r:id="rId3"/>
    <sheet name="3" sheetId="4" r:id="rId4"/>
    <sheet name="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<sst xmlns="http://schemas.openxmlformats.org/spreadsheetml/2006/main" count="268" uniqueCount="231">
  <si>
    <t>STT</t>
  </si>
  <si>
    <t>Danh mục</t>
  </si>
  <si>
    <t>Model</t>
  </si>
  <si>
    <t>Hãng</t>
  </si>
  <si>
    <t>Xuất xứ</t>
  </si>
  <si>
    <t>ĐVT</t>
  </si>
  <si>
    <t>SL</t>
  </si>
  <si>
    <t>Đơn giá (Đã gồm VAT)</t>
  </si>
  <si>
    <t>Thành tiền</t>
  </si>
  <si>
    <t>A</t>
  </si>
  <si>
    <t>Đầu tư nâng cấp hạ tầng số, thiết bị phát triển khoa học và công nghệ</t>
  </si>
  <si>
    <t>I</t>
  </si>
  <si>
    <t>Hệ thống trang thiết bị CNTT, thiết bị ngoại vi…</t>
  </si>
  <si>
    <t>Máy in A4 đen trắng OKI B433DN</t>
  </si>
  <si>
    <t>B433DN</t>
  </si>
  <si>
    <t>OKI</t>
  </si>
  <si>
    <t>Thái Lan</t>
  </si>
  <si>
    <t>Máy</t>
  </si>
  <si>
    <t>Máy đa chức năng đen trắng Ricoh IM 2500</t>
  </si>
  <si>
    <t>IM 2500</t>
  </si>
  <si>
    <t>Ricoh</t>
  </si>
  <si>
    <t>Máy scan A4 Ricoh SP-2240N</t>
  </si>
  <si>
    <t>SP-2240N</t>
  </si>
  <si>
    <t>Cái</t>
  </si>
  <si>
    <t>Máy tính để bàn</t>
  </si>
  <si>
    <t>CUBI NUC 1M</t>
  </si>
  <si>
    <t>MSI</t>
  </si>
  <si>
    <t>Trung Quốc</t>
  </si>
  <si>
    <t>Bộ</t>
  </si>
  <si>
    <t>Thông số kỹ thuật</t>
  </si>
  <si>
    <t>QUAY LẠI</t>
  </si>
  <si>
    <t>Chức năng chuẩn</t>
  </si>
  <si>
    <t>Máy in đen trắng đảo mặt tự động</t>
  </si>
  <si>
    <t>CPU</t>
  </si>
  <si>
    <t>667 MHz</t>
  </si>
  <si>
    <t>Phương thức in</t>
  </si>
  <si>
    <t>Laser Led</t>
  </si>
  <si>
    <t>Tốc độ in</t>
  </si>
  <si>
    <t>40 trang/phút (A4)</t>
  </si>
  <si>
    <t>Bảng điều khiển</t>
  </si>
  <si>
    <t>Màn hình LCD 1,82 inch</t>
  </si>
  <si>
    <t>Bộ nhớ tiêu chuẩn (Ram)</t>
  </si>
  <si>
    <t>512MB, bộ nhớ trong 3GB</t>
  </si>
  <si>
    <t>Thời gian sẵn sàng in</t>
  </si>
  <si>
    <t>Khoảng 12,7 giây từ chế độ nghỉ, 18 giây từ khi khởi động</t>
  </si>
  <si>
    <t>Thời gian in trang đầu tiên</t>
  </si>
  <si>
    <t>4,5 giây</t>
  </si>
  <si>
    <t>Khổ giấy</t>
  </si>
  <si>
    <t>A6-A4, Banner 1,3m (tùy chọn tối đa 216 x 1320 mm)</t>
  </si>
  <si>
    <t>Trữ lượng giấy (chuẩn)</t>
  </si>
  <si>
    <t>01 khay chuẩn x 250 tờ
01 khay tay x 100 tờ</t>
  </si>
  <si>
    <t>Định lượng giấy tiêu chuẩn</t>
  </si>
  <si>
    <t>Khay chuẩn: 60 – 163 g/m2
Khay tay: 60 – 163 g/m2</t>
  </si>
  <si>
    <t>Khay giấy ra</t>
  </si>
  <si>
    <t>150 tờ úp mặt</t>
  </si>
  <si>
    <t>Công suất tiêu thụ</t>
  </si>
  <si>
    <t>Chế độ hoạt động: 570W
Chế độ chờ: 4,4W
Chế độ nghỉ/ tiết kiệm: 0,7W</t>
  </si>
  <si>
    <t>Độ phân giải</t>
  </si>
  <si>
    <t>1200 x 1200dpi</t>
  </si>
  <si>
    <t>In 2 mặt (Duplex)</t>
  </si>
  <si>
    <t>Tiêu chuẩn</t>
  </si>
  <si>
    <t>In di động</t>
  </si>
  <si>
    <t>AirPrint, Mopria, OKI Mobile Print</t>
  </si>
  <si>
    <t>Giao diện</t>
  </si>
  <si>
    <t>USB 2.0 x 1; Ethernet 10BASE-T/100BASE-TX/1,000BASE-T; NFC; USB Host Interface (USB Host)x1</t>
  </si>
  <si>
    <t>Giao thức hỗ trợ</t>
  </si>
  <si>
    <t>TCP/IPv4&amp;v6, AirPrint, Mopria™, IPP Everywhere™, NetBIOS over TCP, HTTP, HTTPS, DNS, DDNS, WINS, Bonjour, SMTP, SMTPS, POP3, POP3S, SNMPv1&amp;v3, SNTP, IPP, IPPS,WSD Print, LLTD, IEEE802.1X, LPR, Port9100, Telnet, FTP, FTPS, IPSec</t>
  </si>
  <si>
    <t>Ngôn ngữ in</t>
  </si>
  <si>
    <t>Adobe PostScript 3, PDF1.7, PCL6 Emulation, PCL5c Emulation, EPSON FX, EPSON LQ, IBM ProPrinter</t>
  </si>
  <si>
    <t>Phần mềm tiện ích</t>
  </si>
  <si>
    <t>Template Manager, smart PrintSuperVision, Monitoring Tool, Printer Supply Manager, Network Status Monitor, PS Gamma Adjuster, Print Job Accounting Client, OKI LPR, Driver Installer Generator, Mobile Print, Print Plugin</t>
  </si>
  <si>
    <t>Công suất in</t>
  </si>
  <si>
    <t>80,000 trang</t>
  </si>
  <si>
    <t>Hộp mực</t>
  </si>
  <si>
    <t>Tương thích linh hoạt với nhiều dung lượng hộp mực 3,000 trang, 7,000 trang và 12,000 trang A4 (Độ phủ tiêu chuẩn)
Mực theo máy 2.000 trang</t>
  </si>
  <si>
    <t>Tuổi thọ cụm trống</t>
  </si>
  <si>
    <t>30.000 trang A4</t>
  </si>
  <si>
    <t>Bảo hành</t>
  </si>
  <si>
    <t>12 tháng</t>
  </si>
  <si>
    <t>Năm sản xuất</t>
  </si>
  <si>
    <t>từ 2026 tới nay</t>
  </si>
  <si>
    <t>Nước sản xuất</t>
  </si>
  <si>
    <t>Máy đa chức năng đen trắng Ricoh IM 2500 (Cấu hình copy + in + scan)</t>
  </si>
  <si>
    <t>Tốc độ sao chụp / in</t>
  </si>
  <si>
    <t>25 bản/phút</t>
  </si>
  <si>
    <t>Tốc độ scan</t>
  </si>
  <si>
    <t>80 ipm</t>
  </si>
  <si>
    <t>Độ phân giải sao chụp</t>
  </si>
  <si>
    <t>600 x 600 dpi</t>
  </si>
  <si>
    <t>Độ phân giải scan</t>
  </si>
  <si>
    <t>100 dpi, 200dpi, 300 dpi, 400 dpi, 600 dpi</t>
  </si>
  <si>
    <t>Thời gian ra bản chụp đầu tiên</t>
  </si>
  <si>
    <t>4.1 giây</t>
  </si>
  <si>
    <t>Copy liên tục</t>
  </si>
  <si>
    <t>999 bản một lần</t>
  </si>
  <si>
    <t>Thời gian khởi động máy</t>
  </si>
  <si>
    <t>18 giây</t>
  </si>
  <si>
    <t>Phóng to/ Thu nhỏ</t>
  </si>
  <si>
    <t>25% ~ 400% điều chỉnh 1%</t>
  </si>
  <si>
    <t>Bộ phận tự động nạp và đảo bản gốc</t>
  </si>
  <si>
    <t>có sẵn</t>
  </si>
  <si>
    <t>Chia bộ điện tử và sao chụp hai mặt</t>
  </si>
  <si>
    <t>Chia bản chụp theo 2 chế độ</t>
  </si>
  <si>
    <t>so le và dọc ngang</t>
  </si>
  <si>
    <t>Chế độ tự động ngủ khi không sử dụng</t>
  </si>
  <si>
    <t>Kích cỡ giấy</t>
  </si>
  <si>
    <t>B6 - A3</t>
  </si>
  <si>
    <t>Định lượng giấy</t>
  </si>
  <si>
    <t>52 ~ 300 g/m2</t>
  </si>
  <si>
    <t>Khay giấy</t>
  </si>
  <si>
    <t>2 khay x 550 tờ, khay tay x 100 tờ</t>
  </si>
  <si>
    <t>500 tờ</t>
  </si>
  <si>
    <t>Bộ nhớ tiêu chuẩn</t>
  </si>
  <si>
    <t>2 GB, HDD : 320 GB</t>
  </si>
  <si>
    <t>PCL5e/PCL6, PDF Direct, PS3 (Emulation)</t>
  </si>
  <si>
    <t>Kết nối</t>
  </si>
  <si>
    <t>Ethernet 10Base-T/100Base-TX/1000Base-T, USB Host I/F</t>
  </si>
  <si>
    <t>Hệ điều hành hỗ trợ</t>
  </si>
  <si>
    <t>Windows Vista/7/8/8.1/10, Windows server/2008/2008 R2/2012/2012 R2</t>
  </si>
  <si>
    <t>Hỗ trợ scan</t>
  </si>
  <si>
    <t>scan to email, scan to USB/SD, scan to Folder</t>
  </si>
  <si>
    <t>Định dạng scan</t>
  </si>
  <si>
    <t>PDF, TIFF, JPEG, High Compression PDF, PDF-A</t>
  </si>
  <si>
    <t>Chân kê</t>
  </si>
  <si>
    <t>Sản xuất tại</t>
  </si>
  <si>
    <t>Kiểu máy</t>
  </si>
  <si>
    <t>Quét 2 mặt tự động</t>
  </si>
  <si>
    <t>Đèn quét</t>
  </si>
  <si>
    <t>CIS x 2</t>
  </si>
  <si>
    <t>Tối đa: 215,9 x 360 mm; Tối thiểu: 50,8 x 50,8 mm
Kéo giấy dài: 6.096 mm</t>
  </si>
  <si>
    <t>27 - 413 g/m2</t>
  </si>
  <si>
    <t>Tốc độ quét</t>
  </si>
  <si>
    <t>Một mặt: 40 ppm, Hai mặt: 80 ipm (A4, quét màu, 300dpi)</t>
  </si>
  <si>
    <t>600 dpi, tối đa 1200 dpi</t>
  </si>
  <si>
    <t>80 tờ (A4: 80 g/m2)</t>
  </si>
  <si>
    <t>Công suất</t>
  </si>
  <si>
    <t>6.000 trang/ ngày</t>
  </si>
  <si>
    <t>Cổng kết nối</t>
  </si>
  <si>
    <t>USB 3.2 Gen1x1 / USB 2.0 / USB 1.1
LAN: 10BASE-T, 100BASE-TX, 1000BASE-T</t>
  </si>
  <si>
    <t>Chức năng quản lý máy</t>
  </si>
  <si>
    <t>Đi kèm phần mềm quản lý cấu hình, theo dõi nhiều máy từ xa cùng lúc dưới dạng phần mềm server - client</t>
  </si>
  <si>
    <t>Định dạng file</t>
  </si>
  <si>
    <t>Hỗ trợ các định dạng file: Bitmap, TIFF, Multi-TIFF, JPEG, JPEG2000, Searchable PDF, PDF, PDF/A, PNG, RTF, Word, Excel, PowerPoint</t>
  </si>
  <si>
    <t>Hỗ trợ Index file</t>
  </si>
  <si>
    <t>XML, CSV, TXT</t>
  </si>
  <si>
    <t>Tính năng tách trường văn bản (Metadata fields)</t>
  </si>
  <si>
    <t>20 trường</t>
  </si>
  <si>
    <t>Phần mềm số hóa tiếng Việt đi kèm</t>
  </si>
  <si>
    <t>Tự động tách file và đặt tên file theo loại văn bản, ngày trên văn bản, số văn bản
Chuyển đổi chữ in và chữ viết tay tiếng Việt sang file dạng văn bản (Word)
Tự động bóc tách các trường trên văn bản hành chính: Số văn bản, ngày văn bản, tiêu đề, kính gửi, cơ quan ban hành, nơi nhận, người ký.
Nguồn tài liệu đầu vào từ máy scan hoặc từ file ảnh.</t>
  </si>
  <si>
    <t>Máy tính để bàn Mini PC MSI Cubi NUC 1M</t>
  </si>
  <si>
    <t>Processor</t>
  </si>
  <si>
    <r>
      <rPr>
        <sz val="12"/>
        <color theme="1"/>
        <rFont val="Times New Roman"/>
        <charset val="134"/>
      </rPr>
      <t>Intel® Core™</t>
    </r>
    <r>
      <rPr>
        <sz val="12"/>
        <color rgb="FFFF0000"/>
        <rFont val="Times New Roman"/>
        <charset val="134"/>
      </rPr>
      <t xml:space="preserve"> 3 100U </t>
    </r>
    <r>
      <rPr>
        <sz val="12"/>
        <color theme="1"/>
        <rFont val="Times New Roman"/>
        <charset val="134"/>
      </rPr>
      <t>Processor  (1.2Ghz upto 4.7Ghz, 10M Cache, 6 nhân/8 luồng)</t>
    </r>
  </si>
  <si>
    <t>Chipset</t>
  </si>
  <si>
    <t xml:space="preserve">Intel® Soc </t>
  </si>
  <si>
    <t>Ổ đĩa lưu trữ</t>
  </si>
  <si>
    <r>
      <rPr>
        <b/>
        <i/>
        <sz val="12"/>
        <color rgb="FFFF0000"/>
        <rFont val="Times New Roman"/>
        <charset val="134"/>
      </rPr>
      <t>1x 256GB M.2 2280 SSD</t>
    </r>
    <r>
      <rPr>
        <sz val="12"/>
        <color theme="1"/>
        <rFont val="Times New Roman"/>
        <charset val="134"/>
      </rPr>
      <t xml:space="preserve">
1x M.2 2242 SSD (PCIE, free slot)
1x 2.5” HDD/SSD</t>
    </r>
  </si>
  <si>
    <t>Dung lượng RAM</t>
  </si>
  <si>
    <r>
      <rPr>
        <sz val="12"/>
        <color rgb="FFFF0000"/>
        <rFont val="Times New Roman"/>
        <charset val="134"/>
      </rPr>
      <t>1 x 8GB RAM DDR5</t>
    </r>
    <r>
      <rPr>
        <sz val="12"/>
        <color theme="1"/>
        <rFont val="Times New Roman"/>
        <charset val="134"/>
      </rPr>
      <t xml:space="preserve"> up to 5200MHz SO-DIMMs, up to 64GB ( 2 slot)</t>
    </r>
  </si>
  <si>
    <t>Hệ điều hành (OS)</t>
  </si>
  <si>
    <t>Microsoft Win Pro 11</t>
  </si>
  <si>
    <t>Đồ họa</t>
  </si>
  <si>
    <t>Intel® Graphics</t>
  </si>
  <si>
    <t>Âm thanh</t>
  </si>
  <si>
    <t xml:space="preserve">Realtek® ALC256 </t>
  </si>
  <si>
    <t>Cổng I/O (Phía trước)</t>
  </si>
  <si>
    <t>2x USB 10Gbps Type A</t>
  </si>
  <si>
    <t>1x Mic-in / Headphone-out combo</t>
  </si>
  <si>
    <t>1x Micro-SD Card Reader</t>
  </si>
  <si>
    <t>Cổng I/O (Phía sau)</t>
  </si>
  <si>
    <r>
      <rPr>
        <sz val="12"/>
        <color theme="1"/>
        <rFont val="Times New Roman"/>
        <charset val="134"/>
      </rPr>
      <t>2x Thunderbolt 4 (</t>
    </r>
    <r>
      <rPr>
        <sz val="12"/>
        <color rgb="FFFF0000"/>
        <rFont val="Times New Roman"/>
        <charset val="134"/>
      </rPr>
      <t xml:space="preserve">DP 1.4 alt-mode up to 4K@60Hz </t>
    </r>
    <r>
      <rPr>
        <sz val="12"/>
        <color theme="1"/>
        <rFont val="Times New Roman"/>
        <charset val="134"/>
      </rPr>
      <t>/PD-out 15W / One of TBT supports PD-in</t>
    </r>
  </si>
  <si>
    <t>2x RJ45</t>
  </si>
  <si>
    <t>2x HDMI out (supports 4K @60Hz as specified in HDMI 2.1)</t>
  </si>
  <si>
    <t>Cổng I/O (Side)</t>
  </si>
  <si>
    <t>1x Kensington Lock</t>
  </si>
  <si>
    <t>1x External Power Switch Pin Header</t>
  </si>
  <si>
    <t>Cổng  I/O bên trong (Inside)</t>
  </si>
  <si>
    <t>2 x USB 2.0 header</t>
  </si>
  <si>
    <t>TPM</t>
  </si>
  <si>
    <t>dTPM 2.0</t>
  </si>
  <si>
    <t>Kết nối không dây</t>
  </si>
  <si>
    <r>
      <rPr>
        <sz val="12"/>
        <color theme="1"/>
        <rFont val="Times New Roman"/>
        <charset val="134"/>
      </rPr>
      <t xml:space="preserve">M.2 key with Intel Wireles </t>
    </r>
    <r>
      <rPr>
        <sz val="12"/>
        <color rgb="FFFF0000"/>
        <rFont val="Times New Roman"/>
        <charset val="134"/>
      </rPr>
      <t>Wireless AX211</t>
    </r>
  </si>
  <si>
    <t>Bluetooth</t>
  </si>
  <si>
    <t>Kết nối mạng</t>
  </si>
  <si>
    <r>
      <rPr>
        <sz val="12"/>
        <color rgb="FFFF0000"/>
        <rFont val="Times New Roman"/>
        <charset val="134"/>
      </rPr>
      <t>2 cổng Lan RJ45 được tích hợp sẵn:</t>
    </r>
    <r>
      <rPr>
        <sz val="12"/>
        <color theme="1"/>
        <rFont val="Times New Roman"/>
        <charset val="134"/>
      </rPr>
      <t xml:space="preserve">
2 x Intel I226V (2.5Gb)</t>
    </r>
  </si>
  <si>
    <t xml:space="preserve">Nguồn </t>
  </si>
  <si>
    <t>Nguồn tiết kiệm điện dùng adaptor 120W</t>
  </si>
  <si>
    <t>Ext Power Switch</t>
  </si>
  <si>
    <t>Công tắc điện nối dài</t>
  </si>
  <si>
    <t>VESA Mount</t>
  </si>
  <si>
    <t>75 x 75 mm &amp; 100 x 100 mm</t>
  </si>
  <si>
    <t>Kensington Lock</t>
  </si>
  <si>
    <t>Có hỗ trợ</t>
  </si>
  <si>
    <t>Keyboard &amp; Mouse</t>
  </si>
  <si>
    <t>Đồng bộ thương hiệu MSI</t>
  </si>
  <si>
    <t>Tính năng</t>
  </si>
  <si>
    <t>1.	Hệ thống bảo mật  dTPM 2.0 hardware được tích hợp sẵn trên máy tính. Tăng cường bảo mật cho hệ thống người dùng.</t>
  </si>
  <si>
    <t>2.	Cho phép người dùng sao lưu và chia sẽ dữ liệu quan trọng cần thiết qua Cloud đến các thiết bị khác như smartphone, máy tính khác.</t>
  </si>
  <si>
    <t>3.	Hỗ trợ xuất hình 4 màn hình cùng lúc.</t>
  </si>
  <si>
    <t>4.	Hỗ trợ bật tắt máy tính bằng nút nguồn màn hình thông qua Thunderbolt 4 PD.</t>
  </si>
  <si>
    <t>5.	Máy tính tích hợp hệ thống AI Engine tự học tự động phát hiện các tình huống của người dùng và điều chỉnh hiệu suất, hiệu ứng âm thanh và chế độ hiển thị cho phù hợp. Chẩn đoán hệ thống và tự động rà soát và nâng cấp Bios và phân mềm khi có bản cập nhật mới.</t>
  </si>
  <si>
    <t>6.	'Hệ thống Lan Manager cho phép người dùng theo dõi thông đường truyền cho từng ứng dụng cụ thể với mức độ ưu tiên khác nhau nhằm tối ưu hóa hiệu năng sử dụng đường truyền mạng nội bộ và internet.</t>
  </si>
  <si>
    <t>7.	Hệ thống tích hợp Dual Lan RJ45 onboard gồm 2.5Gb x 2 nhằm tăng cường tốc độ truy suất đường truyền và cho phép người dùng và người quản trị thiết lập hạ tầng mạng  riêng biệt, nâng cao bảo mật giữa internet và local</t>
  </si>
  <si>
    <t>8.	'Hiển thị và theo dõi thông tin hệ thống theo thời gian thực như CPU, Mainboard, Ram, xung CPU, tốc độ fan…</t>
  </si>
  <si>
    <t>Màn hình đồng bộ thương hiệu MSI</t>
  </si>
  <si>
    <t>Kích thước</t>
  </si>
  <si>
    <t>21.45"</t>
  </si>
  <si>
    <t>Tấm nền</t>
  </si>
  <si>
    <t>VA</t>
  </si>
  <si>
    <t>1920 x 1080 (FHD)</t>
  </si>
  <si>
    <t>Tỉ lệ hình ảnh</t>
  </si>
  <si>
    <t>16:9</t>
  </si>
  <si>
    <t>Độ sáng</t>
  </si>
  <si>
    <t>300 cd/m²</t>
  </si>
  <si>
    <t xml:space="preserve">Độ tương phản </t>
  </si>
  <si>
    <t>4000:1</t>
  </si>
  <si>
    <t>Độ tương phản động</t>
  </si>
  <si>
    <t>100000000:1</t>
  </si>
  <si>
    <t>Tần số quét</t>
  </si>
  <si>
    <t>120Hz</t>
  </si>
  <si>
    <t>Thời gian phản hồi</t>
  </si>
  <si>
    <t>1ms (MPRT) / 4ms (GTG)</t>
  </si>
  <si>
    <t>Góc nhìn</t>
  </si>
  <si>
    <t>178°(H) / 178°(V)</t>
  </si>
  <si>
    <t>Chống chói</t>
  </si>
  <si>
    <t>Anti-glare</t>
  </si>
  <si>
    <t>Màu hiển thị</t>
  </si>
  <si>
    <t>16.7M, 8 bits</t>
  </si>
  <si>
    <t>1x HDMI™ 1.4b (FHD@120Hz)
1x D-Sub (VGA)</t>
  </si>
  <si>
    <t>Nguồn điện</t>
  </si>
  <si>
    <t>100~240V, 50~60Hz</t>
  </si>
  <si>
    <t>24 tháng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</si>
</sst>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0_);_(* \(#,##0\);_(* &quot;-&quot;??_);_(@_)"/>
  </numFmts>
  <fonts count="38">
    <font>
      <sz val="11"/>
      <color theme="1"/>
      <name val="Calibri"/>
      <charset val="1"/>
    </font>
    <font>
      <sz val="11"/>
      <color theme="1"/>
      <name val="Calibri"/>
      <charset val="163"/>
      <scheme val="minor"/>
    </font>
    <font>
      <b/>
      <sz val="12"/>
      <color theme="1"/>
      <name val="Times New Roman"/>
      <charset val="134"/>
    </font>
    <font>
      <u/>
      <sz val="11"/>
      <color rgb="FF800080"/>
      <name val="Calibri"/>
      <charset val="0"/>
      <scheme val="minor"/>
    </font>
    <font>
      <sz val="12"/>
      <color theme="1"/>
      <name val="Times New Roman"/>
      <charset val="134"/>
    </font>
    <font>
      <sz val="12"/>
      <name val="Times New Roman"/>
      <charset val="134"/>
    </font>
    <font>
      <sz val="12"/>
      <color rgb="FFFF0000"/>
      <name val="Times New Roman"/>
      <charset val="134"/>
    </font>
    <font>
      <b/>
      <sz val="12"/>
      <color rgb="FFFF0000"/>
      <name val="Times New Roman"/>
      <charset val="134"/>
    </font>
    <font>
      <sz val="12"/>
      <color rgb="FF000000"/>
      <name val="Times New Roman"/>
      <charset val="134"/>
    </font>
    <font>
      <b/>
      <sz val="12"/>
      <name val="Times New Roman"/>
      <charset val="1"/>
    </font>
    <font>
      <b/>
      <sz val="11"/>
      <name val="Times New Roman"/>
      <charset val="1"/>
    </font>
    <font>
      <sz val="11"/>
      <name val="Times New Roman"/>
      <charset val="1"/>
    </font>
    <font>
      <sz val="11"/>
      <color rgb="FF800080"/>
      <name val="Calibri"/>
      <charset val="0"/>
      <scheme val="minor"/>
    </font>
    <font>
      <sz val="11"/>
      <color theme="1"/>
      <name val="Times New Roman"/>
      <charset val="1"/>
    </font>
    <font>
      <sz val="10"/>
      <name val="Arial"/>
      <charset val="134"/>
    </font>
    <font>
      <b/>
      <sz val="12"/>
      <color theme="1"/>
      <name val="Times New Roman"/>
      <charset val="1"/>
    </font>
    <font>
      <sz val="11"/>
      <color theme="1"/>
      <name val="Times New Roman"/>
      <charset val="0"/>
    </font>
    <font>
      <u/>
      <sz val="11"/>
      <color rgb="FF0000FF"/>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scheme val="minor"/>
    </font>
    <font>
      <b/>
      <i/>
      <sz val="12"/>
      <color rgb="FFFF0000"/>
      <name val="Times New Roman"/>
      <charset val="134"/>
    </font>
  </fonts>
  <fills count="37">
    <fill>
      <patternFill patternType="none"/>
    </fill>
    <fill>
      <patternFill patternType="gray125"/>
    </fill>
    <fill>
      <patternFill patternType="solid">
        <fgColor theme="0" tint="-0.149998474074526"/>
        <bgColor indexed="64"/>
      </patternFill>
    </fill>
    <fill>
      <patternFill patternType="solid">
        <fgColor rgb="FFFFFF00"/>
        <bgColor rgb="FFCCFFFF"/>
      </patternFill>
    </fill>
    <fill>
      <patternFill patternType="solid">
        <fgColor rgb="FFD9E2F3"/>
        <bgColor rgb="FFCCFFFF"/>
      </patternFill>
    </fill>
    <fill>
      <patternFill patternType="solid">
        <fgColor theme="0"/>
        <bgColor rgb="FFCC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4" fillId="0" borderId="0" applyBorder="0" applyAlignment="0" applyProtection="0"/>
    <xf numFmtId="44" fontId="14" fillId="0" borderId="0" applyBorder="0" applyAlignment="0" applyProtection="0"/>
    <xf numFmtId="9" fontId="14" fillId="0" borderId="0" applyBorder="0" applyAlignment="0" applyProtection="0"/>
    <xf numFmtId="41" fontId="14" fillId="0" borderId="0" applyBorder="0" applyAlignment="0" applyProtection="0"/>
    <xf numFmtId="42" fontId="14" fillId="0" borderId="0" applyBorder="0" applyAlignment="0" applyProtection="0"/>
    <xf numFmtId="0" fontId="17"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8" fillId="6" borderId="7"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8" applyNumberFormat="0" applyFill="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4" fillId="0" borderId="0" applyNumberFormat="0" applyFill="0" applyBorder="0" applyAlignment="0" applyProtection="0">
      <alignment vertical="center"/>
    </xf>
    <xf numFmtId="0" fontId="25" fillId="7" borderId="10" applyNumberFormat="0" applyAlignment="0" applyProtection="0">
      <alignment vertical="center"/>
    </xf>
    <xf numFmtId="0" fontId="26" fillId="8" borderId="11" applyNumberFormat="0" applyAlignment="0" applyProtection="0">
      <alignment vertical="center"/>
    </xf>
    <xf numFmtId="0" fontId="27" fillId="8" borderId="10" applyNumberFormat="0" applyAlignment="0" applyProtection="0">
      <alignment vertical="center"/>
    </xf>
    <xf numFmtId="0" fontId="28" fillId="9" borderId="12" applyNumberFormat="0" applyAlignment="0" applyProtection="0">
      <alignment vertical="center"/>
    </xf>
    <xf numFmtId="0" fontId="29" fillId="0" borderId="13" applyNumberFormat="0" applyFill="0" applyAlignment="0" applyProtection="0">
      <alignment vertical="center"/>
    </xf>
    <xf numFmtId="0" fontId="30" fillId="0" borderId="14" applyNumberFormat="0" applyFill="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36" fillId="0" borderId="0"/>
  </cellStyleXfs>
  <cellXfs count="57">
    <xf numFmtId="0" fontId="0" fillId="0" borderId="0" xfId="0"/>
    <xf numFmtId="0" fontId="1" fillId="0" borderId="0" xfId="0" applyFont="1" applyFill="1" applyAlignment="1">
      <alignment vertical="center"/>
    </xf>
    <xf numFmtId="0" fontId="1" fillId="0" borderId="0" xfId="0" applyFont="1" applyFill="1" applyAlignment="1">
      <alignment vertical="center" wrapText="1"/>
    </xf>
    <xf numFmtId="0" fontId="2" fillId="2" borderId="1" xfId="0" applyFont="1" applyFill="1" applyBorder="1" applyAlignment="1">
      <alignment horizontal="center" vertical="center"/>
    </xf>
    <xf numFmtId="0" fontId="3" fillId="3" borderId="1" xfId="6" applyFont="1" applyFill="1" applyBorder="1" applyAlignment="1">
      <alignment horizontal="center" vertical="center" wrapText="1"/>
    </xf>
    <xf numFmtId="0" fontId="2" fillId="2" borderId="1" xfId="0" applyFont="1" applyFill="1" applyBorder="1" applyAlignment="1">
      <alignment horizontal="left" vertical="center"/>
    </xf>
    <xf numFmtId="0" fontId="4" fillId="0" borderId="1" xfId="0" applyFont="1" applyFill="1" applyBorder="1" applyAlignment="1">
      <alignment horizontal="center" vertical="center"/>
    </xf>
    <xf numFmtId="0" fontId="4" fillId="0" borderId="1" xfId="0" applyFont="1" applyFill="1" applyBorder="1" applyAlignment="1">
      <alignment horizontal="left" vertical="center" wrapText="1"/>
    </xf>
    <xf numFmtId="0" fontId="4" fillId="0" borderId="1" xfId="0" applyFont="1" applyFill="1" applyBorder="1" applyAlignment="1">
      <alignment vertical="center" wrapText="1"/>
    </xf>
    <xf numFmtId="0" fontId="5" fillId="0" borderId="1" xfId="0" applyFont="1" applyFill="1" applyBorder="1" applyAlignment="1">
      <alignment horizontal="center" vertical="center"/>
    </xf>
    <xf numFmtId="0" fontId="5" fillId="0" borderId="1" xfId="0" applyFont="1" applyFill="1" applyBorder="1" applyAlignment="1">
      <alignment horizontal="left" vertical="center" wrapText="1"/>
    </xf>
    <xf numFmtId="0" fontId="5" fillId="0" borderId="1" xfId="0" applyFont="1" applyFill="1" applyBorder="1" applyAlignment="1">
      <alignment vertical="center" wrapText="1"/>
    </xf>
    <xf numFmtId="0" fontId="6" fillId="0" borderId="1" xfId="0" applyFont="1" applyFill="1" applyBorder="1" applyAlignment="1">
      <alignment vertical="center" wrapText="1"/>
    </xf>
    <xf numFmtId="0" fontId="7" fillId="0" borderId="1" xfId="0" applyFont="1" applyFill="1" applyBorder="1" applyAlignment="1">
      <alignment vertical="center" wrapText="1"/>
    </xf>
    <xf numFmtId="0" fontId="6" fillId="0" borderId="1" xfId="0" applyFont="1" applyFill="1" applyBorder="1" applyAlignment="1">
      <alignment horizontal="left" vertical="center" wrapText="1"/>
    </xf>
    <xf numFmtId="0" fontId="2" fillId="0" borderId="1" xfId="0" applyFont="1" applyFill="1" applyBorder="1" applyAlignment="1">
      <alignment vertical="center" wrapText="1"/>
    </xf>
    <xf numFmtId="0" fontId="4" fillId="0" borderId="1" xfId="0" applyFont="1" applyFill="1" applyBorder="1" applyAlignment="1">
      <alignment vertical="center"/>
    </xf>
    <xf numFmtId="0" fontId="2" fillId="0" borderId="1" xfId="0" applyFont="1" applyFill="1" applyBorder="1" applyAlignment="1">
      <alignment vertical="center"/>
    </xf>
    <xf numFmtId="20" fontId="4" fillId="0" borderId="1" xfId="0" applyNumberFormat="1" applyFont="1" applyFill="1" applyBorder="1" applyAlignment="1">
      <alignment vertical="center" wrapText="1"/>
    </xf>
    <xf numFmtId="46" fontId="4" fillId="0" borderId="1" xfId="0" applyNumberFormat="1" applyFont="1" applyFill="1" applyBorder="1" applyAlignment="1">
      <alignment vertical="center" wrapText="1"/>
    </xf>
    <xf numFmtId="0" fontId="8" fillId="0" borderId="1" xfId="0" applyFont="1" applyFill="1" applyBorder="1" applyAlignment="1">
      <alignment vertical="center" wrapText="1"/>
    </xf>
    <xf numFmtId="0" fontId="0" fillId="0" borderId="0" xfId="0" applyAlignment="1"/>
    <xf numFmtId="0" fontId="9" fillId="4" borderId="1" xfId="0" applyFont="1" applyFill="1" applyBorder="1" applyAlignment="1">
      <alignment horizontal="center" vertical="center" wrapText="1"/>
    </xf>
    <xf numFmtId="0" fontId="9" fillId="4" borderId="1" xfId="0" applyFont="1" applyFill="1" applyBorder="1" applyAlignment="1">
      <alignment horizontal="center"/>
    </xf>
    <xf numFmtId="0" fontId="3" fillId="3" borderId="2" xfId="6"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xf numFmtId="0" fontId="0" fillId="0" borderId="1" xfId="0" applyBorder="1" applyAlignment="1"/>
    <xf numFmtId="0" fontId="0" fillId="0" borderId="1" xfId="0" applyBorder="1"/>
    <xf numFmtId="0" fontId="10" fillId="0" borderId="1" xfId="0" applyFont="1" applyBorder="1" applyAlignment="1">
      <alignment horizontal="left" vertical="center" wrapText="1"/>
    </xf>
    <xf numFmtId="0" fontId="11" fillId="0" borderId="1" xfId="0" applyFont="1" applyBorder="1" applyAlignment="1">
      <alignment vertical="center" wrapText="1"/>
    </xf>
    <xf numFmtId="0" fontId="9" fillId="4" borderId="1" xfId="0" applyFont="1" applyFill="1" applyBorder="1"/>
    <xf numFmtId="0" fontId="3" fillId="5" borderId="1" xfId="6" applyFont="1" applyFill="1" applyBorder="1" applyAlignment="1">
      <alignment horizontal="center" vertical="center" wrapText="1"/>
    </xf>
    <xf numFmtId="0" fontId="10" fillId="0" borderId="0" xfId="0" applyFont="1" applyAlignment="1">
      <alignment horizontal="center" vertical="center" wrapText="1"/>
    </xf>
    <xf numFmtId="0" fontId="10" fillId="0" borderId="0" xfId="0" applyFont="1"/>
    <xf numFmtId="0" fontId="12" fillId="3" borderId="1" xfId="6" applyFont="1" applyFill="1" applyBorder="1" applyAlignment="1">
      <alignment horizontal="center" vertical="center" wrapText="1"/>
    </xf>
    <xf numFmtId="0" fontId="11" fillId="0" borderId="1" xfId="0" applyFont="1" applyBorder="1" applyAlignment="1">
      <alignment horizontal="left" vertical="center" wrapText="1"/>
    </xf>
    <xf numFmtId="0" fontId="9" fillId="4" borderId="1" xfId="0" applyFont="1" applyFill="1" applyBorder="1" applyAlignment="1">
      <alignment horizontal="center" vertical="center"/>
    </xf>
    <xf numFmtId="0" fontId="9" fillId="4" borderId="3" xfId="0" applyFont="1" applyFill="1" applyBorder="1"/>
    <xf numFmtId="0" fontId="0" fillId="0" borderId="4" xfId="0" applyBorder="1"/>
    <xf numFmtId="0" fontId="10" fillId="0" borderId="5" xfId="0" applyFont="1" applyBorder="1"/>
    <xf numFmtId="0" fontId="0" fillId="0" borderId="6" xfId="0" applyBorder="1"/>
    <xf numFmtId="0" fontId="13" fillId="0" borderId="0" xfId="0" applyFont="1" applyAlignment="1">
      <alignment vertical="center"/>
    </xf>
    <xf numFmtId="176" fontId="14" fillId="0" borderId="0" xfId="1" applyNumberFormat="1" applyAlignment="1">
      <alignment vertical="center"/>
    </xf>
    <xf numFmtId="0" fontId="15" fillId="4" borderId="1" xfId="0" applyFont="1" applyFill="1" applyBorder="1" applyAlignment="1">
      <alignment horizontal="center" vertical="center" wrapText="1"/>
    </xf>
    <xf numFmtId="0" fontId="9" fillId="5" borderId="0" xfId="0" applyFont="1" applyFill="1" applyBorder="1" applyAlignment="1">
      <alignment horizontal="center" vertical="center" wrapText="1"/>
    </xf>
    <xf numFmtId="0" fontId="13" fillId="0" borderId="0" xfId="0" applyFont="1" applyBorder="1" applyAlignment="1">
      <alignment vertical="center"/>
    </xf>
    <xf numFmtId="0" fontId="10" fillId="0" borderId="1" xfId="0" applyFont="1" applyBorder="1" applyAlignment="1">
      <alignment vertical="center"/>
    </xf>
    <xf numFmtId="0" fontId="13" fillId="0" borderId="1" xfId="0" applyFont="1" applyBorder="1" applyAlignment="1">
      <alignment vertical="center"/>
    </xf>
    <xf numFmtId="176" fontId="14" fillId="0" borderId="1" xfId="1" applyNumberFormat="1" applyBorder="1" applyAlignment="1">
      <alignment vertical="center"/>
    </xf>
    <xf numFmtId="0" fontId="11" fillId="0" borderId="1" xfId="0" applyFont="1" applyBorder="1" applyAlignment="1">
      <alignment horizontal="center" vertical="center" wrapText="1"/>
    </xf>
    <xf numFmtId="0" fontId="16" fillId="0" borderId="1" xfId="6" applyFont="1" applyBorder="1" applyAlignment="1">
      <alignment horizontal="left" vertical="center" wrapText="1"/>
    </xf>
    <xf numFmtId="176" fontId="14" fillId="0" borderId="1" xfId="1" applyNumberFormat="1" applyBorder="1" applyAlignment="1">
      <alignment horizontal="center" vertical="center" wrapText="1"/>
    </xf>
    <xf numFmtId="0" fontId="11" fillId="0" borderId="0" xfId="0" applyFont="1" applyBorder="1" applyAlignment="1">
      <alignment horizontal="left" vertical="center" wrapText="1"/>
    </xf>
    <xf numFmtId="0" fontId="13" fillId="0" borderId="0" xfId="0" applyFont="1" applyBorder="1" applyAlignment="1">
      <alignment vertical="center"/>
    </xf>
    <xf numFmtId="176" fontId="14" fillId="0" borderId="0" xfId="1" applyNumberFormat="1" applyBorder="1" applyAlignment="1">
      <alignment vertical="center"/>
    </xf>
    <xf numFmtId="176" fontId="14" fillId="0" borderId="0" xfId="1" applyNumberFormat="1" applyBorder="1" applyAlignment="1">
      <alignment vertical="center"/>
    </xf>
    <xf numFmtId="0" fontId="4" fillId="0" borderId="1" xfId="0" applyFont="1" applyFill="1" applyBorder="1" applyAlignment="1" quotePrefix="1">
      <alignment horizontal="left" vertical="center" wrapText="1"/>
    </xf>
    <xf numFmtId="20" fontId="4" fillId="0" borderId="1" xfId="0" applyNumberFormat="1" applyFont="1" applyFill="1" applyBorder="1" applyAlignment="1" quotePrefix="1">
      <alignment vertical="center" wrapText="1"/>
    </xf>
    <xf numFmtId="46" fontId="4" fillId="0" borderId="1" xfId="0" applyNumberFormat="1" applyFont="1" applyFill="1" applyBorder="1" applyAlignment="1" quotePrefix="1">
      <alignment vertical="center" wrapText="1"/>
    </xf>
    <xf numFmtId="0" fontId="4" fillId="0" borderId="1" xfId="0" applyFont="1" applyFill="1" applyBorder="1" applyAlignment="1" quotePrefix="1">
      <alignment vertical="center"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4"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9E2F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47625</xdr:colOff>
      <xdr:row>4</xdr:row>
      <xdr:rowOff>28575</xdr:rowOff>
    </xdr:from>
    <xdr:to>
      <xdr:col>9</xdr:col>
      <xdr:colOff>550545</xdr:colOff>
      <xdr:row>23</xdr:row>
      <xdr:rowOff>28575</xdr:rowOff>
    </xdr:to>
    <xdr:pic>
      <xdr:nvPicPr>
        <xdr:cNvPr id="2" name="Picture 3" descr="Hình ảnh có liên quan"/>
        <xdr:cNvPicPr>
          <a:picLocks noChangeAspect="1" noChangeArrowheads="1"/>
        </xdr:cNvPicPr>
      </xdr:nvPicPr>
      <xdr:blipFill>
        <a:blip r:embed="rId1" cstate="print"/>
        <a:srcRect/>
        <a:stretch>
          <a:fillRect/>
        </a:stretch>
      </xdr:blipFill>
      <xdr:spPr>
        <a:xfrm>
          <a:off x="8448675" y="990600"/>
          <a:ext cx="3616960" cy="3619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tabSelected="1" workbookViewId="0">
      <selection activeCell="I11" sqref="I11"/>
    </sheetView>
  </sheetViews>
  <sheetFormatPr defaultColWidth="8.67619047619048" defaultRowHeight="15"/>
  <cols>
    <col min="1" max="1" width="6" style="42" customWidth="1"/>
    <col min="2" max="2" width="55" style="42" customWidth="1"/>
    <col min="3" max="5" width="12" style="42" customWidth="1"/>
    <col min="6" max="6" width="8" style="42" customWidth="1"/>
    <col min="7" max="7" width="6" style="42" customWidth="1"/>
    <col min="8" max="8" width="20" style="43" customWidth="1"/>
    <col min="9" max="9" width="15" style="43" customWidth="1"/>
    <col min="10" max="10" width="35" style="42" customWidth="1"/>
    <col min="11" max="16384" width="8.67619047619048" style="42"/>
  </cols>
  <sheetData>
    <row r="1" ht="30" customHeight="1" spans="1:11">
      <c r="A1" s="22" t="s">
        <v>0</v>
      </c>
      <c r="B1" s="44" t="s">
        <v>1</v>
      </c>
      <c r="C1" s="22" t="s">
        <v>2</v>
      </c>
      <c r="D1" s="22" t="s">
        <v>3</v>
      </c>
      <c r="E1" s="22" t="s">
        <v>4</v>
      </c>
      <c r="F1" s="22" t="s">
        <v>5</v>
      </c>
      <c r="G1" s="22" t="s">
        <v>6</v>
      </c>
      <c r="H1" s="22" t="s">
        <v>7</v>
      </c>
      <c r="I1" s="22" t="s">
        <v>8</v>
      </c>
      <c r="J1" s="45"/>
      <c r="K1" s="46"/>
    </row>
    <row r="2" ht="24.75" customHeight="1" spans="1:11">
      <c r="A2" s="47" t="s">
        <v>9</v>
      </c>
      <c r="B2" s="47" t="s">
        <v>10</v>
      </c>
      <c r="C2" s="48"/>
      <c r="D2" s="48"/>
      <c r="E2" s="48"/>
      <c r="F2" s="48"/>
      <c r="G2" s="48"/>
      <c r="H2" s="49"/>
      <c r="I2" s="49"/>
      <c r="J2" s="46"/>
      <c r="K2" s="46"/>
    </row>
    <row r="3" spans="1:11">
      <c r="A3" s="47" t="s">
        <v>11</v>
      </c>
      <c r="B3" s="47" t="s">
        <v>12</v>
      </c>
      <c r="C3" s="48"/>
      <c r="D3" s="48"/>
      <c r="E3" s="48"/>
      <c r="F3" s="48"/>
      <c r="G3" s="48"/>
      <c r="H3" s="49"/>
      <c r="I3" s="49"/>
      <c r="J3" s="46"/>
      <c r="K3" s="46"/>
    </row>
    <row r="4" ht="34.5" customHeight="1" spans="1:11">
      <c r="A4" s="50">
        <v>1</v>
      </c>
      <c r="B4" s="51" t="s">
        <v>13</v>
      </c>
      <c r="C4" s="50" t="s">
        <v>14</v>
      </c>
      <c r="D4" s="50" t="s">
        <v>15</v>
      </c>
      <c r="E4" s="50" t="s">
        <v>16</v>
      </c>
      <c r="F4" s="50" t="s">
        <v>17</v>
      </c>
      <c r="G4" s="50">
        <v>1</v>
      </c>
      <c r="H4" s="52">
        <v>4950000</v>
      </c>
      <c r="I4" s="52">
        <f>H4*G4</f>
        <v>4950000</v>
      </c>
      <c r="J4" s="53"/>
      <c r="K4" s="46"/>
    </row>
    <row r="5" ht="34.5" customHeight="1" spans="1:11">
      <c r="A5" s="50">
        <v>2</v>
      </c>
      <c r="B5" s="51" t="s">
        <v>18</v>
      </c>
      <c r="C5" s="50" t="s">
        <v>19</v>
      </c>
      <c r="D5" s="50" t="s">
        <v>20</v>
      </c>
      <c r="E5" s="50" t="s">
        <v>16</v>
      </c>
      <c r="F5" s="50" t="s">
        <v>17</v>
      </c>
      <c r="G5" s="50">
        <v>2</v>
      </c>
      <c r="H5" s="52">
        <v>72000000</v>
      </c>
      <c r="I5" s="52">
        <f>H5*G5</f>
        <v>144000000</v>
      </c>
      <c r="J5" s="53"/>
      <c r="K5" s="46"/>
    </row>
    <row r="6" ht="34.5" customHeight="1" spans="1:11">
      <c r="A6" s="50">
        <v>3</v>
      </c>
      <c r="B6" s="51" t="s">
        <v>21</v>
      </c>
      <c r="C6" s="50" t="s">
        <v>22</v>
      </c>
      <c r="D6" s="50" t="s">
        <v>20</v>
      </c>
      <c r="E6" s="50" t="s">
        <v>16</v>
      </c>
      <c r="F6" s="50" t="s">
        <v>23</v>
      </c>
      <c r="G6" s="50">
        <v>3</v>
      </c>
      <c r="H6" s="52">
        <v>9500000</v>
      </c>
      <c r="I6" s="52">
        <f>H6*G6</f>
        <v>28500000</v>
      </c>
      <c r="J6" s="53"/>
      <c r="K6" s="46"/>
    </row>
    <row r="7" ht="34.5" customHeight="1" spans="1:11">
      <c r="A7" s="50">
        <v>4</v>
      </c>
      <c r="B7" s="51" t="s">
        <v>24</v>
      </c>
      <c r="C7" s="50" t="s">
        <v>25</v>
      </c>
      <c r="D7" s="50" t="s">
        <v>26</v>
      </c>
      <c r="E7" s="50" t="s">
        <v>27</v>
      </c>
      <c r="F7" s="50" t="s">
        <v>28</v>
      </c>
      <c r="G7" s="50">
        <v>4</v>
      </c>
      <c r="H7" s="52">
        <v>16500000</v>
      </c>
      <c r="I7" s="52">
        <f>H7*G7</f>
        <v>66000000</v>
      </c>
      <c r="J7" s="53"/>
      <c r="K7" s="46"/>
    </row>
    <row r="8" spans="1:11">
      <c r="A8" s="54"/>
      <c r="B8" s="54"/>
      <c r="C8" s="54"/>
      <c r="D8" s="54"/>
      <c r="E8" s="54"/>
      <c r="F8" s="54"/>
      <c r="G8" s="54"/>
      <c r="H8" s="55"/>
      <c r="I8" s="55"/>
      <c r="J8" s="46"/>
      <c r="K8" s="46"/>
    </row>
    <row r="9" spans="1:11">
      <c r="A9" s="46"/>
      <c r="B9" s="46"/>
      <c r="C9" s="46"/>
      <c r="D9" s="46"/>
      <c r="E9" s="46"/>
      <c r="F9" s="46"/>
      <c r="G9" s="46"/>
      <c r="H9" s="56"/>
      <c r="I9" s="56"/>
      <c r="J9" s="46"/>
    </row>
  </sheetData>
  <hyperlinks>
    <hyperlink ref="B4" location="'1'!A1" display="Máy in A4 đen trắng OKI B433DN"/>
    <hyperlink ref="B5" location="'2'!A1" display="Máy đa chức năng đen trắng Ricoh IM 2500"/>
    <hyperlink ref="B6" location="'3'!A1" display="Máy scan A4 Ricoh SP-2240N"/>
    <hyperlink ref="B7" location="'4'!A1" display="Máy tính để bàn"/>
  </hyperlink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8"/>
  <sheetViews>
    <sheetView workbookViewId="0">
      <selection activeCell="A1" sqref="A1"/>
    </sheetView>
  </sheetViews>
  <sheetFormatPr defaultColWidth="8.67619047619048" defaultRowHeight="15" outlineLevelCol="5"/>
  <cols>
    <col min="1" max="1" width="6" customWidth="1"/>
    <col min="2" max="2" width="30" customWidth="1"/>
    <col min="3" max="3" width="50" customWidth="1"/>
    <col min="4" max="4" width="30" customWidth="1"/>
    <col min="5" max="5" width="12" customWidth="1"/>
  </cols>
  <sheetData>
    <row r="1" ht="15.75" spans="1:6">
      <c r="A1" s="37" t="s">
        <v>0</v>
      </c>
      <c r="C1" s="38" t="s">
        <v>29</v>
      </c>
      <c r="D1" s="39"/>
    </row>
    <row r="2" ht="30" spans="1:6">
      <c r="A2" s="33">
        <v>1</v>
      </c>
      <c r="B2" s="40" t="s">
        <v>13</v>
      </c>
      <c r="D2" s="41"/>
      <c r="F2" s="4" t="s">
        <v>30</v>
      </c>
    </row>
    <row r="3" spans="1:6">
      <c r="B3" s="29" t="s">
        <v>31</v>
      </c>
      <c r="C3" s="36" t="s">
        <v>32</v>
      </c>
      <c r="D3" s="36"/>
    </row>
    <row r="4" customHeight="1" spans="1:6">
      <c r="B4" s="29" t="s">
        <v>33</v>
      </c>
      <c r="C4" s="36" t="s">
        <v>34</v>
      </c>
      <c r="D4" s="36"/>
    </row>
    <row r="5" customHeight="1" spans="1:6">
      <c r="B5" s="29" t="s">
        <v>35</v>
      </c>
      <c r="C5" s="36" t="s">
        <v>36</v>
      </c>
      <c r="D5" s="36"/>
    </row>
    <row r="6" customHeight="1" spans="1:6">
      <c r="B6" s="29" t="s">
        <v>37</v>
      </c>
      <c r="C6" s="36" t="s">
        <v>38</v>
      </c>
      <c r="D6" s="36"/>
    </row>
    <row r="7" customHeight="1" spans="1:6">
      <c r="B7" s="29" t="s">
        <v>39</v>
      </c>
      <c r="C7" s="36" t="s">
        <v>40</v>
      </c>
      <c r="D7" s="36"/>
    </row>
    <row r="8" customHeight="1" spans="1:6">
      <c r="B8" s="29" t="s">
        <v>41</v>
      </c>
      <c r="C8" s="36" t="s">
        <v>42</v>
      </c>
      <c r="D8" s="36"/>
    </row>
    <row r="9" customHeight="1" spans="1:6">
      <c r="B9" s="29" t="s">
        <v>43</v>
      </c>
      <c r="C9" s="36" t="s">
        <v>44</v>
      </c>
      <c r="D9" s="36"/>
    </row>
    <row r="10" customHeight="1" spans="1:6">
      <c r="B10" s="29" t="s">
        <v>45</v>
      </c>
      <c r="C10" s="36" t="s">
        <v>46</v>
      </c>
      <c r="D10" s="36"/>
    </row>
    <row r="11" customHeight="1" spans="1:6">
      <c r="B11" s="29" t="s">
        <v>47</v>
      </c>
      <c r="C11" s="36" t="s">
        <v>48</v>
      </c>
      <c r="D11" s="36"/>
    </row>
    <row r="12" ht="37" customHeight="1" spans="1:6">
      <c r="B12" s="29" t="s">
        <v>49</v>
      </c>
      <c r="C12" s="36" t="s">
        <v>50</v>
      </c>
      <c r="D12" s="36"/>
    </row>
    <row r="13" ht="37" customHeight="1" spans="1:6">
      <c r="B13" s="29" t="s">
        <v>51</v>
      </c>
      <c r="C13" s="36" t="s">
        <v>52</v>
      </c>
      <c r="D13" s="36"/>
    </row>
    <row r="14" customHeight="1" spans="1:6">
      <c r="B14" s="29" t="s">
        <v>53</v>
      </c>
      <c r="C14" s="36" t="s">
        <v>54</v>
      </c>
      <c r="D14" s="36"/>
    </row>
    <row r="15" spans="1:6">
      <c r="B15" s="29" t="s">
        <v>55</v>
      </c>
      <c r="C15" s="36" t="s">
        <v>56</v>
      </c>
      <c r="D15" s="36"/>
    </row>
    <row r="16" customHeight="1" spans="1:6">
      <c r="B16" s="29" t="s">
        <v>57</v>
      </c>
      <c r="C16" s="36" t="s">
        <v>58</v>
      </c>
      <c r="D16" s="36"/>
    </row>
    <row r="17" customHeight="1" spans="2:4">
      <c r="B17" s="29" t="s">
        <v>59</v>
      </c>
      <c r="C17" s="36" t="s">
        <v>60</v>
      </c>
      <c r="D17" s="36"/>
    </row>
    <row r="18" customHeight="1" spans="2:4">
      <c r="B18" s="29" t="s">
        <v>61</v>
      </c>
      <c r="C18" s="36" t="s">
        <v>62</v>
      </c>
      <c r="D18" s="36"/>
    </row>
    <row r="19" ht="33" customHeight="1" spans="2:4">
      <c r="B19" s="29" t="s">
        <v>63</v>
      </c>
      <c r="C19" s="36" t="s">
        <v>64</v>
      </c>
      <c r="D19" s="36"/>
    </row>
    <row r="20" ht="53" customHeight="1" spans="2:4">
      <c r="B20" s="29" t="s">
        <v>65</v>
      </c>
      <c r="C20" s="36" t="s">
        <v>66</v>
      </c>
      <c r="D20" s="36"/>
    </row>
    <row r="21" ht="38" customHeight="1" spans="2:4">
      <c r="B21" s="29" t="s">
        <v>67</v>
      </c>
      <c r="C21" s="36" t="s">
        <v>68</v>
      </c>
      <c r="D21" s="36"/>
    </row>
    <row r="22" ht="45" customHeight="1" spans="2:4">
      <c r="B22" s="29" t="s">
        <v>69</v>
      </c>
      <c r="C22" s="36" t="s">
        <v>70</v>
      </c>
      <c r="D22" s="36"/>
    </row>
    <row r="23" customHeight="1" spans="2:4">
      <c r="B23" s="29" t="s">
        <v>71</v>
      </c>
      <c r="C23" s="36" t="s">
        <v>72</v>
      </c>
      <c r="D23" s="36"/>
    </row>
    <row r="24" ht="46" customHeight="1" spans="2:4">
      <c r="B24" s="29" t="s">
        <v>73</v>
      </c>
      <c r="C24" s="36" t="s">
        <v>74</v>
      </c>
      <c r="D24" s="36"/>
    </row>
    <row r="25" customHeight="1" spans="2:4">
      <c r="B25" s="29" t="s">
        <v>75</v>
      </c>
      <c r="C25" s="36" t="s">
        <v>76</v>
      </c>
      <c r="D25" s="36"/>
    </row>
    <row r="26" customHeight="1" spans="2:4">
      <c r="B26" s="29" t="s">
        <v>77</v>
      </c>
      <c r="C26" s="36" t="s">
        <v>78</v>
      </c>
      <c r="D26" s="36"/>
    </row>
    <row r="27" customHeight="1" spans="2:4">
      <c r="B27" s="29" t="s">
        <v>79</v>
      </c>
      <c r="C27" s="36" t="s">
        <v>80</v>
      </c>
      <c r="D27" s="36"/>
    </row>
    <row r="28" customHeight="1" spans="2:4">
      <c r="B28" s="29" t="s">
        <v>81</v>
      </c>
      <c r="C28" s="36" t="s">
        <v>16</v>
      </c>
      <c r="D28" s="36"/>
    </row>
  </sheetData>
  <mergeCells count="26">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s>
  <hyperlinks>
    <hyperlink ref="F2" location="'Tổng hợp'!A1" display="QUAY LẠI"/>
  </hyperlink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workbookViewId="0">
      <selection activeCell="A1" sqref="A1"/>
    </sheetView>
  </sheetViews>
  <sheetFormatPr defaultColWidth="8.67619047619048" defaultRowHeight="15" outlineLevelCol="5"/>
  <cols>
    <col min="1" max="1" width="6" customWidth="1"/>
    <col min="2" max="2" width="40" customWidth="1"/>
    <col min="3" max="3" width="50" customWidth="1"/>
    <col min="4" max="4" width="30" customWidth="1"/>
    <col min="5" max="5" width="12" customWidth="1"/>
  </cols>
  <sheetData>
    <row r="1" ht="15.75" spans="1:6">
      <c r="A1" s="22" t="s">
        <v>0</v>
      </c>
      <c r="B1" s="31" t="s">
        <v>29</v>
      </c>
      <c r="F1" s="32"/>
    </row>
    <row r="2" ht="30" spans="1:6">
      <c r="A2" s="33">
        <v>2</v>
      </c>
      <c r="B2" s="34" t="s">
        <v>82</v>
      </c>
      <c r="F2" s="35" t="s">
        <v>30</v>
      </c>
    </row>
    <row r="3" customHeight="1" spans="1:6">
      <c r="B3" s="29" t="s">
        <v>83</v>
      </c>
      <c r="C3" s="36" t="s">
        <v>84</v>
      </c>
      <c r="D3" s="36"/>
    </row>
    <row r="4" customHeight="1" spans="1:6">
      <c r="B4" s="29" t="s">
        <v>85</v>
      </c>
      <c r="C4" s="36" t="s">
        <v>86</v>
      </c>
      <c r="D4" s="36"/>
    </row>
    <row r="5" customHeight="1" spans="1:6">
      <c r="B5" s="29" t="s">
        <v>87</v>
      </c>
      <c r="C5" s="36" t="s">
        <v>88</v>
      </c>
      <c r="D5" s="36"/>
    </row>
    <row r="6" customHeight="1" spans="1:6">
      <c r="B6" s="29" t="s">
        <v>89</v>
      </c>
      <c r="C6" s="36" t="s">
        <v>90</v>
      </c>
      <c r="D6" s="36"/>
    </row>
    <row r="7" customHeight="1" spans="1:6">
      <c r="B7" s="29" t="s">
        <v>91</v>
      </c>
      <c r="C7" s="36" t="s">
        <v>92</v>
      </c>
      <c r="D7" s="36"/>
    </row>
    <row r="8" customHeight="1" spans="1:6">
      <c r="B8" s="29" t="s">
        <v>93</v>
      </c>
      <c r="C8" s="36" t="s">
        <v>94</v>
      </c>
      <c r="D8" s="36"/>
    </row>
    <row r="9" customHeight="1" spans="1:6">
      <c r="B9" s="29" t="s">
        <v>95</v>
      </c>
      <c r="C9" s="36" t="s">
        <v>96</v>
      </c>
      <c r="D9" s="36"/>
    </row>
    <row r="10" customHeight="1" spans="1:6">
      <c r="B10" s="29" t="s">
        <v>97</v>
      </c>
      <c r="C10" s="36" t="s">
        <v>98</v>
      </c>
      <c r="D10" s="36"/>
    </row>
    <row r="11" customHeight="1" spans="1:6">
      <c r="B11" s="29" t="s">
        <v>99</v>
      </c>
      <c r="C11" s="36" t="s">
        <v>100</v>
      </c>
      <c r="D11" s="36"/>
    </row>
    <row r="12" customHeight="1" spans="1:6">
      <c r="B12" s="29" t="s">
        <v>101</v>
      </c>
      <c r="C12" s="36" t="s">
        <v>100</v>
      </c>
      <c r="D12" s="36"/>
    </row>
    <row r="13" customHeight="1" spans="1:6">
      <c r="B13" s="29" t="s">
        <v>102</v>
      </c>
      <c r="C13" s="36" t="s">
        <v>103</v>
      </c>
      <c r="D13" s="36"/>
    </row>
    <row r="14" customHeight="1" spans="1:6">
      <c r="B14" s="29" t="s">
        <v>104</v>
      </c>
      <c r="C14" s="36" t="s">
        <v>100</v>
      </c>
      <c r="D14" s="36"/>
    </row>
    <row r="15" customHeight="1" spans="1:6">
      <c r="B15" s="29" t="s">
        <v>105</v>
      </c>
      <c r="C15" s="36" t="s">
        <v>106</v>
      </c>
      <c r="D15" s="36"/>
    </row>
    <row r="16" customHeight="1" spans="1:6">
      <c r="B16" s="29" t="s">
        <v>107</v>
      </c>
      <c r="C16" s="36" t="s">
        <v>108</v>
      </c>
      <c r="D16" s="36"/>
    </row>
    <row r="17" customHeight="1" spans="2:4">
      <c r="B17" s="29" t="s">
        <v>109</v>
      </c>
      <c r="C17" s="36" t="s">
        <v>110</v>
      </c>
      <c r="D17" s="36"/>
    </row>
    <row r="18" customHeight="1" spans="2:4">
      <c r="B18" s="29" t="s">
        <v>53</v>
      </c>
      <c r="C18" s="36" t="s">
        <v>111</v>
      </c>
      <c r="D18" s="36"/>
    </row>
    <row r="19" customHeight="1" spans="2:4">
      <c r="B19" s="29" t="s">
        <v>112</v>
      </c>
      <c r="C19" s="36" t="s">
        <v>113</v>
      </c>
      <c r="D19" s="36"/>
    </row>
    <row r="20" customHeight="1" spans="2:4">
      <c r="B20" s="29" t="s">
        <v>67</v>
      </c>
      <c r="C20" s="36" t="s">
        <v>114</v>
      </c>
      <c r="D20" s="36"/>
    </row>
    <row r="21" customHeight="1" spans="2:4">
      <c r="B21" s="29" t="s">
        <v>115</v>
      </c>
      <c r="C21" s="36" t="s">
        <v>116</v>
      </c>
      <c r="D21" s="36"/>
    </row>
    <row r="22" customHeight="1" spans="2:4">
      <c r="B22" s="29" t="s">
        <v>117</v>
      </c>
      <c r="C22" s="36" t="s">
        <v>118</v>
      </c>
      <c r="D22" s="36"/>
    </row>
    <row r="23" customHeight="1" spans="2:4">
      <c r="B23" s="29" t="s">
        <v>119</v>
      </c>
      <c r="C23" s="36" t="s">
        <v>120</v>
      </c>
      <c r="D23" s="36"/>
    </row>
    <row r="24" customHeight="1" spans="2:4">
      <c r="B24" s="29" t="s">
        <v>121</v>
      </c>
      <c r="C24" s="36" t="s">
        <v>122</v>
      </c>
      <c r="D24" s="36"/>
    </row>
    <row r="25" customHeight="1" spans="2:4">
      <c r="B25" s="29" t="s">
        <v>123</v>
      </c>
      <c r="C25" s="36" t="s">
        <v>100</v>
      </c>
      <c r="D25" s="36"/>
    </row>
    <row r="26" customHeight="1" spans="2:4">
      <c r="B26" s="29" t="s">
        <v>124</v>
      </c>
      <c r="C26" s="36" t="s">
        <v>16</v>
      </c>
      <c r="D26" s="36"/>
    </row>
    <row r="27" customHeight="1" spans="2:4">
      <c r="B27" s="29" t="s">
        <v>77</v>
      </c>
      <c r="C27" s="36" t="s">
        <v>78</v>
      </c>
      <c r="D27" s="36"/>
    </row>
  </sheetData>
  <mergeCells count="25">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s>
  <hyperlinks>
    <hyperlink ref="F2" location="'Tổng hợp'!A1" display="QUAY LẠI"/>
  </hyperlinks>
  <pageMargins left="0.75" right="0.75" top="1" bottom="1" header="0.511811023622047" footer="0.511811023622047"/>
  <pageSetup paperSize="9" orientation="portrait" horizontalDpi="300" verticalDpi="3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workbookViewId="0">
      <selection activeCell="A1" sqref="A1"/>
    </sheetView>
  </sheetViews>
  <sheetFormatPr defaultColWidth="8.67619047619048" defaultRowHeight="15" outlineLevelCol="3"/>
  <cols>
    <col min="1" max="1" width="6" customWidth="1"/>
    <col min="2" max="2" width="45" customWidth="1"/>
    <col min="3" max="3" width="55" style="21" customWidth="1"/>
    <col min="4" max="4" width="12" customWidth="1"/>
  </cols>
  <sheetData>
    <row r="1" ht="15.75" spans="1:4">
      <c r="A1" s="22" t="s">
        <v>0</v>
      </c>
      <c r="B1" s="23" t="s">
        <v>29</v>
      </c>
      <c r="C1" s="23"/>
      <c r="D1" s="24" t="s">
        <v>30</v>
      </c>
    </row>
    <row r="2" spans="1:4">
      <c r="A2" s="25">
        <v>3</v>
      </c>
      <c r="B2" s="26" t="s">
        <v>21</v>
      </c>
      <c r="C2" s="27"/>
    </row>
    <row r="3" spans="1:4">
      <c r="A3" s="28"/>
      <c r="B3" s="29" t="s">
        <v>125</v>
      </c>
      <c r="C3" s="30" t="s">
        <v>126</v>
      </c>
    </row>
    <row r="4" spans="1:4">
      <c r="A4" s="28"/>
      <c r="B4" s="29" t="s">
        <v>127</v>
      </c>
      <c r="C4" s="30" t="s">
        <v>128</v>
      </c>
    </row>
    <row r="5" ht="30" spans="1:4">
      <c r="A5" s="28"/>
      <c r="B5" s="29" t="s">
        <v>47</v>
      </c>
      <c r="C5" s="30" t="s">
        <v>129</v>
      </c>
    </row>
    <row r="6" spans="1:4">
      <c r="A6" s="28"/>
      <c r="B6" s="29" t="s">
        <v>107</v>
      </c>
      <c r="C6" s="30" t="s">
        <v>130</v>
      </c>
    </row>
    <row r="7" spans="1:4">
      <c r="A7" s="28"/>
      <c r="B7" s="29" t="s">
        <v>131</v>
      </c>
      <c r="C7" s="30" t="s">
        <v>132</v>
      </c>
    </row>
    <row r="8" spans="1:4">
      <c r="A8" s="28"/>
      <c r="B8" s="29" t="s">
        <v>57</v>
      </c>
      <c r="C8" s="30" t="s">
        <v>133</v>
      </c>
    </row>
    <row r="9" spans="1:4">
      <c r="A9" s="28"/>
      <c r="B9" s="29" t="s">
        <v>109</v>
      </c>
      <c r="C9" s="30" t="s">
        <v>134</v>
      </c>
    </row>
    <row r="10" spans="1:4">
      <c r="A10" s="28"/>
      <c r="B10" s="29" t="s">
        <v>135</v>
      </c>
      <c r="C10" s="30" t="s">
        <v>136</v>
      </c>
    </row>
    <row r="11" ht="30" spans="1:4">
      <c r="A11" s="28"/>
      <c r="B11" s="29" t="s">
        <v>137</v>
      </c>
      <c r="C11" s="30" t="s">
        <v>138</v>
      </c>
    </row>
    <row r="12" ht="30" spans="1:4">
      <c r="A12" s="28"/>
      <c r="B12" s="29" t="s">
        <v>139</v>
      </c>
      <c r="C12" s="30" t="s">
        <v>140</v>
      </c>
    </row>
    <row r="13" ht="45" spans="1:4">
      <c r="A13" s="28"/>
      <c r="B13" s="29" t="s">
        <v>141</v>
      </c>
      <c r="C13" s="30" t="s">
        <v>142</v>
      </c>
    </row>
    <row r="14" spans="1:4">
      <c r="A14" s="28"/>
      <c r="B14" s="29" t="s">
        <v>143</v>
      </c>
      <c r="C14" s="30" t="s">
        <v>144</v>
      </c>
    </row>
    <row r="15" ht="28.5" spans="1:4">
      <c r="A15" s="28"/>
      <c r="B15" s="29" t="s">
        <v>145</v>
      </c>
      <c r="C15" s="30" t="s">
        <v>146</v>
      </c>
    </row>
    <row r="16" ht="120" spans="1:4">
      <c r="A16" s="28"/>
      <c r="B16" s="29" t="s">
        <v>147</v>
      </c>
      <c r="C16" s="30" t="s">
        <v>148</v>
      </c>
    </row>
    <row r="17" spans="1:3">
      <c r="A17" s="28"/>
      <c r="B17" s="29" t="s">
        <v>4</v>
      </c>
      <c r="C17" s="30" t="s">
        <v>16</v>
      </c>
    </row>
    <row r="18" spans="1:3">
      <c r="A18" s="28"/>
      <c r="B18" s="29" t="s">
        <v>77</v>
      </c>
      <c r="C18" s="30" t="s">
        <v>78</v>
      </c>
    </row>
  </sheetData>
  <mergeCells count="1">
    <mergeCell ref="B1:C1"/>
  </mergeCells>
  <hyperlinks>
    <hyperlink ref="D1" location="'Tổng hợp'!A1" display="QUAY LẠI"/>
  </hyperlink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2"/>
  <sheetViews>
    <sheetView workbookViewId="0">
      <selection activeCell="C8" sqref="C8"/>
    </sheetView>
  </sheetViews>
  <sheetFormatPr defaultColWidth="8.67619047619048" defaultRowHeight="15" outlineLevelCol="4"/>
  <cols>
    <col min="1" max="1" width="5" style="1" customWidth="1"/>
    <col min="2" max="2" width="25.8571428571429" style="1" customWidth="1"/>
    <col min="3" max="3" width="91.2857142857143" style="2" customWidth="1"/>
  </cols>
  <sheetData>
    <row r="1" ht="30" spans="1:5">
      <c r="A1" s="3" t="s">
        <v>0</v>
      </c>
      <c r="B1" s="3" t="s">
        <v>29</v>
      </c>
      <c r="C1" s="3"/>
      <c r="E1" s="4" t="s">
        <v>30</v>
      </c>
    </row>
    <row r="2" ht="15.75" spans="1:5">
      <c r="A2" s="3">
        <v>1</v>
      </c>
      <c r="B2" s="5" t="s">
        <v>149</v>
      </c>
      <c r="C2" s="3"/>
    </row>
    <row r="3" ht="15.75" spans="1:5">
      <c r="A3" s="6"/>
      <c r="B3" s="7" t="s">
        <v>150</v>
      </c>
      <c r="C3" s="8" t="s">
        <v>151</v>
      </c>
    </row>
    <row r="4" ht="15.75" spans="1:5">
      <c r="A4" s="6"/>
      <c r="B4" s="7" t="s">
        <v>152</v>
      </c>
      <c r="C4" s="8" t="s">
        <v>153</v>
      </c>
    </row>
    <row r="5" ht="47.25" spans="1:5">
      <c r="A5" s="6"/>
      <c r="B5" s="7" t="s">
        <v>154</v>
      </c>
      <c r="C5" s="8" t="s">
        <v>155</v>
      </c>
    </row>
    <row r="6" ht="15.75" spans="1:5">
      <c r="A6" s="6"/>
      <c r="B6" s="7" t="s">
        <v>156</v>
      </c>
      <c r="C6" s="8" t="s">
        <v>157</v>
      </c>
    </row>
    <row r="7" ht="15.75" spans="1:5">
      <c r="A7" s="9"/>
      <c r="B7" s="10" t="s">
        <v>158</v>
      </c>
      <c r="C7" s="11" t="s">
        <v>159</v>
      </c>
    </row>
    <row r="8" ht="15.75" spans="1:5">
      <c r="A8" s="6"/>
      <c r="B8" s="7" t="s">
        <v>160</v>
      </c>
      <c r="C8" s="8" t="s">
        <v>161</v>
      </c>
    </row>
    <row r="9" ht="15.75" spans="1:5">
      <c r="A9" s="6"/>
      <c r="B9" s="7" t="s">
        <v>162</v>
      </c>
      <c r="C9" s="8" t="s">
        <v>163</v>
      </c>
    </row>
    <row r="10" ht="15.75" spans="1:5">
      <c r="A10" s="6"/>
      <c r="B10" s="7" t="s">
        <v>164</v>
      </c>
      <c r="C10" s="8" t="s">
        <v>165</v>
      </c>
    </row>
    <row r="11" ht="15.75" spans="1:5">
      <c r="A11" s="6"/>
      <c r="B11" s="7"/>
      <c r="C11" s="12" t="s">
        <v>166</v>
      </c>
    </row>
    <row r="12" ht="15.75" spans="1:5">
      <c r="A12" s="6"/>
      <c r="B12" s="7"/>
      <c r="C12" s="8" t="s">
        <v>167</v>
      </c>
    </row>
    <row r="13" ht="15.75" spans="1:5">
      <c r="A13" s="6"/>
      <c r="B13" s="7" t="s">
        <v>168</v>
      </c>
      <c r="C13" s="8" t="s">
        <v>169</v>
      </c>
    </row>
    <row r="14" ht="15.75" spans="1:5">
      <c r="A14" s="6"/>
      <c r="B14" s="7"/>
      <c r="C14" s="8" t="s">
        <v>165</v>
      </c>
    </row>
    <row r="15" ht="15.75" spans="1:5">
      <c r="A15" s="6"/>
      <c r="B15" s="7"/>
      <c r="C15" s="13" t="s">
        <v>170</v>
      </c>
    </row>
    <row r="16" ht="15.75" spans="1:5">
      <c r="A16" s="6"/>
      <c r="B16" s="7"/>
      <c r="C16" s="8" t="s">
        <v>171</v>
      </c>
    </row>
    <row r="17" ht="15.75" spans="1:3">
      <c r="A17" s="6"/>
      <c r="B17" s="7" t="s">
        <v>172</v>
      </c>
      <c r="C17" s="8" t="s">
        <v>173</v>
      </c>
    </row>
    <row r="18" ht="15.75" spans="1:3">
      <c r="A18" s="6"/>
      <c r="B18" s="7"/>
      <c r="C18" s="8" t="s">
        <v>174</v>
      </c>
    </row>
    <row r="19" ht="15.75" spans="1:3">
      <c r="A19" s="6"/>
      <c r="B19" s="7" t="s">
        <v>175</v>
      </c>
      <c r="C19" s="12" t="s">
        <v>176</v>
      </c>
    </row>
    <row r="20" ht="15.75" spans="1:3">
      <c r="A20" s="6"/>
      <c r="B20" s="7" t="s">
        <v>177</v>
      </c>
      <c r="C20" s="8" t="s">
        <v>178</v>
      </c>
    </row>
    <row r="21" ht="15.75" spans="1:3">
      <c r="A21" s="6"/>
      <c r="B21" s="7" t="s">
        <v>179</v>
      </c>
      <c r="C21" s="8" t="s">
        <v>180</v>
      </c>
    </row>
    <row r="22" ht="15.75" spans="1:3">
      <c r="A22" s="6"/>
      <c r="B22" s="7" t="s">
        <v>181</v>
      </c>
      <c r="C22" s="7">
        <v>5.3</v>
      </c>
    </row>
    <row r="23" ht="31.5" spans="1:3">
      <c r="A23" s="6"/>
      <c r="B23" s="7" t="s">
        <v>182</v>
      </c>
      <c r="C23" s="8" t="s">
        <v>183</v>
      </c>
    </row>
    <row r="24" ht="15.75" spans="1:3">
      <c r="A24" s="6"/>
      <c r="B24" s="7" t="s">
        <v>184</v>
      </c>
      <c r="C24" s="8" t="s">
        <v>185</v>
      </c>
    </row>
    <row r="25" ht="15.75" spans="1:3">
      <c r="A25" s="6"/>
      <c r="B25" s="14" t="s">
        <v>186</v>
      </c>
      <c r="C25" s="12" t="s">
        <v>187</v>
      </c>
    </row>
    <row r="26" ht="15.75" spans="1:3">
      <c r="A26" s="6"/>
      <c r="B26" s="7" t="s">
        <v>188</v>
      </c>
      <c r="C26" s="8" t="s">
        <v>189</v>
      </c>
    </row>
    <row r="27" ht="15.75" spans="1:3">
      <c r="A27" s="6"/>
      <c r="B27" s="7" t="s">
        <v>190</v>
      </c>
      <c r="C27" s="8" t="s">
        <v>191</v>
      </c>
    </row>
    <row r="28" ht="15.75" spans="1:3">
      <c r="A28" s="6"/>
      <c r="B28" s="7" t="s">
        <v>192</v>
      </c>
      <c r="C28" s="8" t="s">
        <v>193</v>
      </c>
    </row>
    <row r="29" ht="31.5" spans="1:3">
      <c r="A29" s="6"/>
      <c r="B29" s="8" t="s">
        <v>194</v>
      </c>
      <c r="C29" s="57" t="s">
        <v>195</v>
      </c>
    </row>
    <row r="30" ht="31.5" spans="1:3">
      <c r="A30" s="6"/>
      <c r="B30" s="8"/>
      <c r="C30" s="57" t="s">
        <v>196</v>
      </c>
    </row>
    <row r="31" ht="15.75" spans="1:3">
      <c r="A31" s="6"/>
      <c r="B31" s="8"/>
      <c r="C31" s="57" t="s">
        <v>197</v>
      </c>
    </row>
    <row r="32" ht="15.75" spans="1:3">
      <c r="A32" s="6"/>
      <c r="B32" s="8"/>
      <c r="C32" s="57" t="s">
        <v>198</v>
      </c>
    </row>
    <row r="33" ht="47.25" spans="1:3">
      <c r="A33" s="6"/>
      <c r="B33" s="8"/>
      <c r="C33" s="57" t="s">
        <v>199</v>
      </c>
    </row>
    <row r="34" ht="31.5" spans="1:3">
      <c r="A34" s="6"/>
      <c r="B34" s="8"/>
      <c r="C34" s="57" t="s">
        <v>200</v>
      </c>
    </row>
    <row r="35" ht="47.25" spans="1:3">
      <c r="A35" s="6"/>
      <c r="B35" s="8"/>
      <c r="C35" s="57" t="s">
        <v>201</v>
      </c>
    </row>
    <row r="36" ht="31.5" spans="1:3">
      <c r="A36" s="6"/>
      <c r="B36" s="15"/>
      <c r="C36" s="57" t="s">
        <v>202</v>
      </c>
    </row>
    <row r="37" ht="15.75" spans="1:3">
      <c r="A37" s="16"/>
      <c r="B37" s="17" t="s">
        <v>203</v>
      </c>
      <c r="C37" s="8"/>
    </row>
    <row r="38" ht="15.75" spans="1:3">
      <c r="A38" s="16"/>
      <c r="B38" s="8" t="s">
        <v>204</v>
      </c>
      <c r="C38" s="8" t="s">
        <v>205</v>
      </c>
    </row>
    <row r="39" ht="15.75" spans="1:3">
      <c r="A39" s="16"/>
      <c r="B39" s="8" t="s">
        <v>206</v>
      </c>
      <c r="C39" s="8" t="s">
        <v>207</v>
      </c>
    </row>
    <row r="40" ht="15.75" spans="1:3">
      <c r="A40" s="16"/>
      <c r="B40" s="8" t="s">
        <v>57</v>
      </c>
      <c r="C40" s="8" t="s">
        <v>208</v>
      </c>
    </row>
    <row r="41" ht="15.75" spans="1:3">
      <c r="A41" s="16"/>
      <c r="B41" s="8" t="s">
        <v>209</v>
      </c>
      <c r="C41" s="58" t="s">
        <v>210</v>
      </c>
    </row>
    <row r="42" ht="15.75" spans="1:3">
      <c r="A42" s="16"/>
      <c r="B42" s="8" t="s">
        <v>211</v>
      </c>
      <c r="C42" s="8" t="s">
        <v>212</v>
      </c>
    </row>
    <row r="43" ht="15.75" spans="1:3">
      <c r="A43" s="16"/>
      <c r="B43" s="8" t="s">
        <v>213</v>
      </c>
      <c r="C43" s="59" t="s">
        <v>214</v>
      </c>
    </row>
    <row r="44" ht="15.75" spans="1:3">
      <c r="A44" s="16"/>
      <c r="B44" s="8" t="s">
        <v>215</v>
      </c>
      <c r="C44" s="60" t="s">
        <v>216</v>
      </c>
    </row>
    <row r="45" ht="15.75" spans="1:3">
      <c r="A45" s="16"/>
      <c r="B45" s="8" t="s">
        <v>217</v>
      </c>
      <c r="C45" s="20" t="s">
        <v>218</v>
      </c>
    </row>
    <row r="46" ht="15.75" spans="1:3">
      <c r="A46" s="16"/>
      <c r="B46" s="8" t="s">
        <v>219</v>
      </c>
      <c r="C46" s="8" t="s">
        <v>220</v>
      </c>
    </row>
    <row r="47" ht="15.75" spans="1:3">
      <c r="A47" s="16"/>
      <c r="B47" s="8" t="s">
        <v>221</v>
      </c>
      <c r="C47" s="8" t="s">
        <v>222</v>
      </c>
    </row>
    <row r="48" ht="15.75" spans="1:3">
      <c r="A48" s="16"/>
      <c r="B48" s="8" t="s">
        <v>223</v>
      </c>
      <c r="C48" s="8" t="s">
        <v>224</v>
      </c>
    </row>
    <row r="49" ht="15.75" spans="1:3">
      <c r="A49" s="16"/>
      <c r="B49" s="8" t="s">
        <v>225</v>
      </c>
      <c r="C49" s="8" t="s">
        <v>226</v>
      </c>
    </row>
    <row r="50" ht="31.5" spans="1:3">
      <c r="A50" s="16"/>
      <c r="B50" s="11" t="s">
        <v>137</v>
      </c>
      <c r="C50" s="11" t="s">
        <v>227</v>
      </c>
    </row>
    <row r="51" ht="15.75" spans="1:3">
      <c r="A51" s="16"/>
      <c r="B51" s="11" t="s">
        <v>228</v>
      </c>
      <c r="C51" s="11" t="s">
        <v>229</v>
      </c>
    </row>
    <row r="52" ht="15.75" spans="1:3">
      <c r="A52" s="16"/>
      <c r="B52" s="11" t="s">
        <v>77</v>
      </c>
      <c r="C52" s="11" t="s">
        <v>230</v>
      </c>
    </row>
  </sheetData>
  <mergeCells count="8">
    <mergeCell ref="B1:C1"/>
    <mergeCell ref="A10:A12"/>
    <mergeCell ref="A13:A16"/>
    <mergeCell ref="A17:A18"/>
    <mergeCell ref="A29:A36"/>
    <mergeCell ref="B10:B12"/>
    <mergeCell ref="B13:B16"/>
    <mergeCell ref="B17:B18"/>
  </mergeCells>
  <hyperlinks>
    <hyperlink ref="E1" location="'Tổng hợp'!A1" display="QUAY LẠI"/>
  </hyperlink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5</vt:i4>
      </vt:variant>
    </vt:vector>
  </HeadingPairs>
  <TitlesOfParts>
    <vt:vector size="5" baseType="lpstr">
      <vt:lpstr>Tổng hợp</vt:lpstr>
      <vt:lpstr>1</vt:lpstr>
      <vt:lpstr>2</vt:lpstr>
      <vt:lpstr>3</vt:lpstr>
      <vt:lpstr>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Hòa Ngọc</cp:lastModifiedBy>
  <cp:revision>0</cp:revision>
  <dcterms:created xsi:type="dcterms:W3CDTF">2026-08-20T04:34:00Z</dcterms:created>
  <dcterms:modified xsi:type="dcterms:W3CDTF">2026-08-20T04:58:36Z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E112AE90661348579201C19D7C055427_13</vt:lpwstr>
  </property>
  <property fmtid="{D5CDD505-2E9C-101B-9397-08002B2CF9AE}" pid="3" name="KSOProductBuildVer">
    <vt:lpwstr>1033-12.1.0.28032</vt:lpwstr>
  </property>
  <property fmtid="{D5CDD505-2E9C-101B-9397-08002B2CF9AE}" pid="4" name="CalculationRule">
    <vt:i4>0</vt:i4>
  </property>
</Properties>
</file>